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ing Results" sheetId="2" state="visible" r:id="rId2"/>
    <sheet name="Bullish Setups" sheetId="3" state="visible" r:id="rId3"/>
    <sheet name="Position Sizes" sheetId="4" state="visible" r:id="rId4"/>
    <sheet name="Sector Performance" sheetId="5" state="visible" r:id="rId5"/>
    <sheet name="Decision Helper" sheetId="6" state="visible" r:id="rId6"/>
    <sheet name="Trade Journal" sheetId="7" state="visible" r:id="rId7"/>
    <sheet name="Daily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2E7D32"/>
      <sz val="12"/>
    </font>
    <font>
      <b val="1"/>
      <color rgb="00FFFFFF"/>
      <sz val="12"/>
    </font>
    <font>
      <i val="1"/>
      <color rgb="00666666"/>
    </font>
    <font>
      <i val="1"/>
      <color rgb="009C27B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86BA90"/>
        <bgColor rgb="0086BA90"/>
      </patternFill>
    </fill>
    <fill>
      <patternFill patternType="solid">
        <fgColor rgb="00A8DADC"/>
        <bgColor rgb="00A8DADC"/>
      </patternFill>
    </fill>
    <fill>
      <patternFill patternType="solid">
        <fgColor rgb="00E63946"/>
        <bgColor rgb="00E63946"/>
      </patternFill>
    </fill>
    <fill>
      <patternFill patternType="solid">
        <fgColor rgb="009C27B0"/>
        <bgColor rgb="009C27B0"/>
      </patternFill>
    </fill>
    <fill>
      <patternFill patternType="solid">
        <fgColor rgb="002E7D32"/>
        <bgColor rgb="002E7D32"/>
      </patternFill>
    </fill>
    <fill>
      <patternFill patternType="solid">
        <fgColor rgb="00F9A825"/>
        <bgColor rgb="00F9A825"/>
      </patternFill>
    </fill>
    <fill>
      <patternFill patternType="solid">
        <fgColor rgb="00E1BEE7"/>
        <bgColor rgb="00E1BE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2" borderId="1" pivotButton="0" quotePrefix="0" xfId="0"/>
    <xf numFmtId="0" fontId="3" fillId="6" borderId="0" pivotButton="0" quotePrefix="0" xfId="0"/>
    <xf numFmtId="0" fontId="4" fillId="0" borderId="0" pivotButton="0" quotePrefix="0" xfId="0"/>
    <xf numFmtId="0" fontId="3" fillId="7" borderId="1" pivotButton="0" quotePrefix="0" xfId="0"/>
    <xf numFmtId="0" fontId="0" fillId="8" borderId="1" pivotButton="0" quotePrefix="0" xfId="0"/>
    <xf numFmtId="0" fontId="5" fillId="6" borderId="0" pivotButton="0" quotePrefix="0" xfId="0"/>
    <xf numFmtId="0" fontId="3" fillId="6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9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1BEE7"/>
          <bgColor rgb="00E1BE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ASTRYX INVESTING - DAILY MARKET EVALUATION</t>
        </is>
      </c>
    </row>
    <row r="2">
      <c r="A2" t="inlineStr"/>
    </row>
    <row r="3">
      <c r="A3" t="inlineStr">
        <is>
          <t>Run Date:</t>
        </is>
      </c>
      <c r="B3" t="inlineStr">
        <is>
          <t>2026-01-27 00:00:00</t>
        </is>
      </c>
    </row>
    <row r="4">
      <c r="A4" t="inlineStr">
        <is>
          <t>Stocks Scanned:</t>
        </is>
      </c>
      <c r="B4" t="n">
        <v>50</v>
      </c>
    </row>
    <row r="5">
      <c r="A5" t="inlineStr"/>
    </row>
    <row r="6">
      <c r="A6" s="2" t="inlineStr">
        <is>
          <t>MARKET OVERVIEW</t>
        </is>
      </c>
    </row>
    <row r="7">
      <c r="A7" t="inlineStr">
        <is>
          <t>SPY Price:</t>
        </is>
      </c>
      <c r="B7" t="inlineStr">
        <is>
          <t>$686.97</t>
        </is>
      </c>
    </row>
    <row r="8">
      <c r="A8" t="inlineStr">
        <is>
          <t>SPY RSI:</t>
        </is>
      </c>
      <c r="B8" t="inlineStr">
        <is>
          <t>43.6</t>
        </is>
      </c>
    </row>
    <row r="9">
      <c r="A9" t="inlineStr"/>
    </row>
    <row r="10">
      <c r="A10" s="2" t="inlineStr">
        <is>
          <t>SIGNAL BREAKDOWN</t>
        </is>
      </c>
    </row>
    <row r="11">
      <c r="A11" t="inlineStr">
        <is>
          <t>Bullish Setups:</t>
        </is>
      </c>
      <c r="B11" t="n">
        <v>11</v>
      </c>
    </row>
    <row r="12">
      <c r="A12" t="inlineStr">
        <is>
          <t>Bearish Setups:</t>
        </is>
      </c>
      <c r="B12" t="n">
        <v>30</v>
      </c>
    </row>
    <row r="13">
      <c r="A13" t="inlineStr">
        <is>
          <t>Neutral:</t>
        </is>
      </c>
      <c r="B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</cols>
  <sheetData>
    <row r="1">
      <c r="A1" s="3" t="inlineStr">
        <is>
          <t>Ticker</t>
        </is>
      </c>
      <c r="B1" s="3" t="inlineStr">
        <is>
          <t>Signal</t>
        </is>
      </c>
      <c r="C1" s="3" t="inlineStr">
        <is>
          <t>Bullish_Setups</t>
        </is>
      </c>
      <c r="D1" s="3" t="inlineStr">
        <is>
          <t>Bearish_Setups</t>
        </is>
      </c>
      <c r="E1" s="3" t="inlineStr">
        <is>
          <t>Num_Bullish</t>
        </is>
      </c>
      <c r="F1" s="3" t="inlineStr">
        <is>
          <t>Num_Bearish</t>
        </is>
      </c>
      <c r="G1" s="3" t="inlineStr">
        <is>
          <t>Price</t>
        </is>
      </c>
      <c r="H1" s="3" t="inlineStr">
        <is>
          <t>RSI</t>
        </is>
      </c>
      <c r="I1" s="3" t="inlineStr">
        <is>
          <t>MACD_Hist</t>
        </is>
      </c>
      <c r="J1" s="3" t="inlineStr">
        <is>
          <t>Vol_Ratio</t>
        </is>
      </c>
      <c r="K1" s="3" t="inlineStr">
        <is>
          <t>RS_vs_SPY</t>
        </is>
      </c>
      <c r="L1" s="3" t="inlineStr">
        <is>
          <t>Dist_200_SMA</t>
        </is>
      </c>
      <c r="M1" s="3" t="inlineStr">
        <is>
          <t>ATR_Pct</t>
        </is>
      </c>
    </row>
    <row r="2">
      <c r="A2" s="4" t="inlineStr">
        <is>
          <t>HD</t>
        </is>
      </c>
      <c r="B2" s="5" t="inlineStr">
        <is>
          <t>BULLISH</t>
        </is>
      </c>
      <c r="C2" s="4" t="inlineStr">
        <is>
          <t>PULLBACK_SUPPORT, RS_LEADER</t>
        </is>
      </c>
      <c r="D2" s="4" t="inlineStr"/>
      <c r="E2" s="4" t="n">
        <v>2</v>
      </c>
      <c r="F2" s="4" t="n">
        <v>0</v>
      </c>
      <c r="G2" s="4" t="n">
        <v>381.6950073242188</v>
      </c>
      <c r="H2" s="4" t="n">
        <v>51.73578521371764</v>
      </c>
      <c r="I2" s="4" t="n">
        <v>-0.5404511778864602</v>
      </c>
      <c r="J2" s="4" t="n">
        <v>0.6304109049678581</v>
      </c>
      <c r="K2" s="4" t="n">
        <v>11.03788608543266</v>
      </c>
      <c r="L2" s="4" t="n">
        <v>2.708986427320164</v>
      </c>
      <c r="M2" s="4" t="n">
        <v>2.118745896280635</v>
      </c>
    </row>
    <row r="3">
      <c r="A3" s="4" t="inlineStr">
        <is>
          <t>NVDA</t>
        </is>
      </c>
      <c r="B3" s="5" t="inlineStr">
        <is>
          <t>BULLISH</t>
        </is>
      </c>
      <c r="C3" s="4" t="inlineStr">
        <is>
          <t>PULLBACK_SUPPORT</t>
        </is>
      </c>
      <c r="D3" s="4" t="inlineStr"/>
      <c r="E3" s="4" t="n">
        <v>1</v>
      </c>
      <c r="F3" s="4" t="n">
        <v>0</v>
      </c>
      <c r="G3" s="4" t="n">
        <v>179</v>
      </c>
      <c r="H3" s="4" t="n">
        <v>42.58331350232454</v>
      </c>
      <c r="I3" s="4" t="n">
        <v>-0.3627441438077206</v>
      </c>
      <c r="J3" s="4" t="n">
        <v>0.7222534245975941</v>
      </c>
      <c r="K3" s="4" t="n">
        <v>-4.738910895682003</v>
      </c>
      <c r="L3" s="4" t="n">
        <v>6.24217617329344</v>
      </c>
      <c r="M3" s="4" t="n">
        <v>3.073024521422025</v>
      </c>
    </row>
    <row r="4">
      <c r="A4" s="4" t="inlineStr">
        <is>
          <t>GOOGL</t>
        </is>
      </c>
      <c r="B4" s="5" t="inlineStr">
        <is>
          <t>BULLISH</t>
        </is>
      </c>
      <c r="C4" s="4" t="inlineStr">
        <is>
          <t>RS_LEADER</t>
        </is>
      </c>
      <c r="D4" s="4" t="inlineStr"/>
      <c r="E4" s="4" t="n">
        <v>1</v>
      </c>
      <c r="F4" s="4" t="n">
        <v>0</v>
      </c>
      <c r="G4" s="4" t="n">
        <v>340.3537902832031</v>
      </c>
      <c r="H4" s="4" t="n">
        <v>54.90178548273278</v>
      </c>
      <c r="I4" s="4" t="n">
        <v>0.3691395216332491</v>
      </c>
      <c r="J4" s="4" t="n">
        <v>0.599712748617766</v>
      </c>
      <c r="K4" s="4" t="n">
        <v>7.632206674634734</v>
      </c>
      <c r="L4" s="4" t="n">
        <v>44.16215280378849</v>
      </c>
      <c r="M4" s="4" t="n">
        <v>2.45983389230687</v>
      </c>
    </row>
    <row r="5">
      <c r="A5" s="4" t="inlineStr">
        <is>
          <t>AMZN</t>
        </is>
      </c>
      <c r="B5" s="5" t="inlineStr">
        <is>
          <t>BULLISH</t>
        </is>
      </c>
      <c r="C5" s="4" t="inlineStr">
        <is>
          <t>PULLBACK_SUPPORT</t>
        </is>
      </c>
      <c r="D5" s="4" t="inlineStr"/>
      <c r="E5" s="4" t="n">
        <v>1</v>
      </c>
      <c r="F5" s="4" t="n">
        <v>0</v>
      </c>
      <c r="G5" s="4" t="n">
        <v>236.5500030517578</v>
      </c>
      <c r="H5" s="4" t="n">
        <v>43.58430341780628</v>
      </c>
      <c r="I5" s="4" t="n">
        <v>-0.2330822110142681</v>
      </c>
      <c r="J5" s="4" t="n">
        <v>0.7539459211108727</v>
      </c>
      <c r="K5" s="4" t="n">
        <v>1.60652685153071</v>
      </c>
      <c r="L5" s="4" t="n">
        <v>6.356385774344927</v>
      </c>
      <c r="M5" s="4" t="n">
        <v>2.585077596541846</v>
      </c>
    </row>
    <row r="6">
      <c r="A6" s="4" t="inlineStr">
        <is>
          <t>META</t>
        </is>
      </c>
      <c r="B6" s="5" t="inlineStr">
        <is>
          <t>BULLISH</t>
        </is>
      </c>
      <c r="C6" s="4" t="inlineStr">
        <is>
          <t>RS_LEADER</t>
        </is>
      </c>
      <c r="D6" s="4" t="inlineStr"/>
      <c r="E6" s="4" t="n">
        <v>1</v>
      </c>
      <c r="F6" s="4" t="n">
        <v>0</v>
      </c>
      <c r="G6" s="4" t="n">
        <v>691.4000244140625</v>
      </c>
      <c r="H6" s="4" t="n">
        <v>63.27771072535138</v>
      </c>
      <c r="I6" s="4" t="n">
        <v>7.895071142646679</v>
      </c>
      <c r="J6" s="4" t="n">
        <v>0.4286907309584537</v>
      </c>
      <c r="K6" s="4" t="n">
        <v>5.059047283798868</v>
      </c>
      <c r="L6" s="4" t="n">
        <v>1.308866263437831</v>
      </c>
      <c r="M6" s="4" t="n">
        <v>3.389498462745944</v>
      </c>
    </row>
    <row r="7">
      <c r="A7" s="4" t="inlineStr">
        <is>
          <t>COST</t>
        </is>
      </c>
      <c r="B7" s="5" t="inlineStr">
        <is>
          <t>BULLISH</t>
        </is>
      </c>
      <c r="C7" s="4" t="inlineStr">
        <is>
          <t>RS_LEADER</t>
        </is>
      </c>
      <c r="D7" s="4" t="inlineStr"/>
      <c r="E7" s="4" t="n">
        <v>1</v>
      </c>
      <c r="F7" s="4" t="n">
        <v>0</v>
      </c>
      <c r="G7" s="4" t="n">
        <v>986</v>
      </c>
      <c r="H7" s="4" t="n">
        <v>65.96627713801723</v>
      </c>
      <c r="I7" s="4" t="n">
        <v>-0.3720448028421863</v>
      </c>
      <c r="J7" s="4" t="n">
        <v>0.622106982470363</v>
      </c>
      <c r="K7" s="4" t="n">
        <v>12.85336808816602</v>
      </c>
      <c r="L7" s="4" t="n">
        <v>3.933661440077602</v>
      </c>
      <c r="M7" s="4" t="n">
        <v>1.869246822991387</v>
      </c>
    </row>
    <row r="8">
      <c r="A8" s="4" t="inlineStr">
        <is>
          <t>MRK</t>
        </is>
      </c>
      <c r="B8" s="5" t="inlineStr">
        <is>
          <t>BULLISH</t>
        </is>
      </c>
      <c r="C8" s="4" t="inlineStr">
        <is>
          <t>RS_LEADER</t>
        </is>
      </c>
      <c r="D8" s="4" t="inlineStr"/>
      <c r="E8" s="4" t="n">
        <v>1</v>
      </c>
      <c r="F8" s="4" t="n">
        <v>0</v>
      </c>
      <c r="G8" s="4" t="n">
        <v>116.1949996948242</v>
      </c>
      <c r="H8" s="4" t="n">
        <v>68.23718994062712</v>
      </c>
      <c r="I8" s="4" t="n">
        <v>0.1800305497729819</v>
      </c>
      <c r="J8" s="4" t="n">
        <v>1.052698500408277</v>
      </c>
      <c r="K8" s="4" t="n">
        <v>8.257787451474275</v>
      </c>
      <c r="L8" s="4" t="n">
        <v>33.45750246357045</v>
      </c>
      <c r="M8" s="4" t="n">
        <v>2.516706386906285</v>
      </c>
    </row>
    <row r="9">
      <c r="A9" s="4" t="inlineStr">
        <is>
          <t>AMD</t>
        </is>
      </c>
      <c r="B9" s="5" t="inlineStr">
        <is>
          <t>BULLISH</t>
        </is>
      </c>
      <c r="C9" s="4" t="inlineStr">
        <is>
          <t>RS_LEADER</t>
        </is>
      </c>
      <c r="D9" s="4" t="inlineStr"/>
      <c r="E9" s="4" t="n">
        <v>1</v>
      </c>
      <c r="F9" s="4" t="n">
        <v>0</v>
      </c>
      <c r="G9" s="4" t="n">
        <v>240.10009765625</v>
      </c>
      <c r="H9" s="4" t="n">
        <v>61.92204639528577</v>
      </c>
      <c r="I9" s="4" t="n">
        <v>0.03044299650395033</v>
      </c>
      <c r="J9" s="4" t="n">
        <v>0.565004201691236</v>
      </c>
      <c r="K9" s="4" t="n">
        <v>8.712319842330608</v>
      </c>
      <c r="L9" s="4" t="n">
        <v>35.40768346091292</v>
      </c>
      <c r="M9" s="4" t="n">
        <v>5.271013850656944</v>
      </c>
    </row>
    <row r="10">
      <c r="A10" s="4" t="inlineStr">
        <is>
          <t>LIN</t>
        </is>
      </c>
      <c r="B10" s="5" t="inlineStr">
        <is>
          <t>BULLISH</t>
        </is>
      </c>
      <c r="C10" s="4" t="inlineStr">
        <is>
          <t>RS_LEADER</t>
        </is>
      </c>
      <c r="D10" s="4" t="inlineStr"/>
      <c r="E10" s="4" t="n">
        <v>1</v>
      </c>
      <c r="F10" s="4" t="n">
        <v>0</v>
      </c>
      <c r="G10" s="4" t="n">
        <v>463.8500061035156</v>
      </c>
      <c r="H10" s="4" t="n">
        <v>71.99245229826877</v>
      </c>
      <c r="I10" s="4" t="n">
        <v>1.185754936627221</v>
      </c>
      <c r="J10" s="4" t="n">
        <v>0.4567222937535322</v>
      </c>
      <c r="K10" s="4" t="n">
        <v>7.209032826400019</v>
      </c>
      <c r="L10" s="4" t="n">
        <v>3.071812186567179</v>
      </c>
      <c r="M10" s="4" t="n">
        <v>1.429032723853052</v>
      </c>
    </row>
    <row r="11">
      <c r="A11" s="4" t="inlineStr">
        <is>
          <t>MCD</t>
        </is>
      </c>
      <c r="B11" s="5" t="inlineStr">
        <is>
          <t>BULLISH</t>
        </is>
      </c>
      <c r="C11" s="4" t="inlineStr">
        <is>
          <t>RS_LEADER</t>
        </is>
      </c>
      <c r="D11" s="4" t="inlineStr"/>
      <c r="E11" s="4" t="n">
        <v>1</v>
      </c>
      <c r="F11" s="4" t="n">
        <v>0</v>
      </c>
      <c r="G11" s="4" t="n">
        <v>321.5</v>
      </c>
      <c r="H11" s="4" t="n">
        <v>70.15370963464638</v>
      </c>
      <c r="I11" s="4" t="n">
        <v>1.442377595992913</v>
      </c>
      <c r="J11" s="4" t="n">
        <v>0.6067718911313857</v>
      </c>
      <c r="K11" s="4" t="n">
        <v>7.325762380640777</v>
      </c>
      <c r="L11" s="4" t="n">
        <v>5.760133703931184</v>
      </c>
      <c r="M11" s="4" t="n">
        <v>1.392133806419754</v>
      </c>
    </row>
    <row r="12">
      <c r="A12" s="4" t="inlineStr">
        <is>
          <t>CAT</t>
        </is>
      </c>
      <c r="B12" s="5" t="inlineStr">
        <is>
          <t>BULLISH</t>
        </is>
      </c>
      <c r="C12" s="4" t="inlineStr">
        <is>
          <t>RS_LEADER</t>
        </is>
      </c>
      <c r="D12" s="4" t="inlineStr"/>
      <c r="E12" s="4" t="n">
        <v>1</v>
      </c>
      <c r="F12" s="4" t="n">
        <v>0</v>
      </c>
      <c r="G12" s="4" t="n">
        <v>696.6085205078125</v>
      </c>
      <c r="H12" s="4" t="n">
        <v>69.95693905622062</v>
      </c>
      <c r="I12" s="4" t="n">
        <v>4.333997891199829</v>
      </c>
      <c r="J12" s="4" t="n">
        <v>0.5627016651918918</v>
      </c>
      <c r="K12" s="4" t="n">
        <v>13.4410455060332</v>
      </c>
      <c r="L12" s="4" t="n">
        <v>48.87123681169189</v>
      </c>
      <c r="M12" s="4" t="n">
        <v>2.989536853896754</v>
      </c>
    </row>
    <row r="13">
      <c r="A13" s="4" t="inlineStr">
        <is>
          <t>AAPL</t>
        </is>
      </c>
      <c r="B13" s="6" t="inlineStr">
        <is>
          <t>NEUTRAL</t>
        </is>
      </c>
      <c r="C13" s="4" t="inlineStr"/>
      <c r="D13" s="4" t="inlineStr"/>
      <c r="E13" s="4" t="n">
        <v>0</v>
      </c>
      <c r="F13" s="4" t="n">
        <v>0</v>
      </c>
      <c r="G13" s="4" t="n">
        <v>269.7850036621094</v>
      </c>
      <c r="H13" s="4" t="n">
        <v>60.3581336404029</v>
      </c>
      <c r="I13" s="4" t="n">
        <v>2.313858182989813</v>
      </c>
      <c r="J13" s="4" t="n">
        <v>0.6023514263569533</v>
      </c>
      <c r="K13" s="4" t="n">
        <v>1.053826577895611</v>
      </c>
      <c r="L13" s="4" t="n">
        <v>13.78424563420113</v>
      </c>
      <c r="M13" s="4" t="n">
        <v>2.363258953038276</v>
      </c>
    </row>
    <row r="14">
      <c r="A14" s="4" t="inlineStr">
        <is>
          <t>JPM</t>
        </is>
      </c>
      <c r="B14" s="6" t="inlineStr">
        <is>
          <t>NEUTRAL</t>
        </is>
      </c>
      <c r="C14" s="4" t="inlineStr"/>
      <c r="D14" s="4" t="inlineStr"/>
      <c r="E14" s="4" t="n">
        <v>0</v>
      </c>
      <c r="F14" s="4" t="n">
        <v>0</v>
      </c>
      <c r="G14" s="4" t="n">
        <v>309.8999938964844</v>
      </c>
      <c r="H14" s="4" t="n">
        <v>48.7580728298111</v>
      </c>
      <c r="I14" s="4" t="n">
        <v>0.09554724483365007</v>
      </c>
      <c r="J14" s="4" t="n">
        <v>0.4489004327124674</v>
      </c>
      <c r="K14" s="4" t="n">
        <v>-6.699151738646925</v>
      </c>
      <c r="L14" s="4" t="n">
        <v>6.23999319247369</v>
      </c>
      <c r="M14" s="4" t="n">
        <v>1.991310347006662</v>
      </c>
    </row>
    <row r="15">
      <c r="A15" s="4" t="inlineStr">
        <is>
          <t>V</t>
        </is>
      </c>
      <c r="B15" s="6" t="inlineStr">
        <is>
          <t>NEUTRAL</t>
        </is>
      </c>
      <c r="C15" s="4" t="inlineStr"/>
      <c r="D15" s="4" t="inlineStr"/>
      <c r="E15" s="4" t="n">
        <v>0</v>
      </c>
      <c r="F15" s="4" t="n">
        <v>0</v>
      </c>
      <c r="G15" s="4" t="n">
        <v>333.1700134277344</v>
      </c>
      <c r="H15" s="4" t="n">
        <v>56.25741371928834</v>
      </c>
      <c r="I15" s="4" t="n">
        <v>0.3148761767604804</v>
      </c>
      <c r="J15" s="4" t="n">
        <v>0.5588706680004804</v>
      </c>
      <c r="K15" s="4" t="n">
        <v>-5.721914893464097</v>
      </c>
      <c r="L15" s="4" t="n">
        <v>-3.185525277866526</v>
      </c>
      <c r="M15" s="4" t="n">
        <v>1.940880152308512</v>
      </c>
    </row>
    <row r="16">
      <c r="A16" s="4" t="inlineStr">
        <is>
          <t>MA</t>
        </is>
      </c>
      <c r="B16" s="6" t="inlineStr">
        <is>
          <t>NEUTRAL</t>
        </is>
      </c>
      <c r="C16" s="4" t="inlineStr"/>
      <c r="D16" s="4" t="inlineStr"/>
      <c r="E16" s="4" t="n">
        <v>0</v>
      </c>
      <c r="F16" s="4" t="n">
        <v>0</v>
      </c>
      <c r="G16" s="4" t="n">
        <v>555.7650146484375</v>
      </c>
      <c r="H16" s="4" t="n">
        <v>56.03338323046322</v>
      </c>
      <c r="I16" s="4" t="n">
        <v>2.109410406106546</v>
      </c>
      <c r="J16" s="4" t="n">
        <v>0.6359296246209941</v>
      </c>
      <c r="K16" s="4" t="n">
        <v>-1.996254333218461</v>
      </c>
      <c r="L16" s="4" t="n">
        <v>-1.153354402470683</v>
      </c>
      <c r="M16" s="4" t="n">
        <v>2.021538328979837</v>
      </c>
    </row>
    <row r="17">
      <c r="A17" s="4" t="inlineStr">
        <is>
          <t>ABBV</t>
        </is>
      </c>
      <c r="B17" s="6" t="inlineStr">
        <is>
          <t>NEUTRAL</t>
        </is>
      </c>
      <c r="C17" s="4" t="inlineStr"/>
      <c r="D17" s="4" t="inlineStr"/>
      <c r="E17" s="4" t="n">
        <v>0</v>
      </c>
      <c r="F17" s="4" t="n">
        <v>0</v>
      </c>
      <c r="G17" s="4" t="n">
        <v>226.1100006103516</v>
      </c>
      <c r="H17" s="4" t="n">
        <v>61.94958022779734</v>
      </c>
      <c r="I17" s="4" t="n">
        <v>1.038644748323907</v>
      </c>
      <c r="J17" s="4" t="n">
        <v>0.3804111557060225</v>
      </c>
      <c r="K17" s="4" t="n">
        <v>3.62855314268653</v>
      </c>
      <c r="L17" s="4" t="n">
        <v>9.745607616807726</v>
      </c>
      <c r="M17" s="4" t="n">
        <v>2.366450179645402</v>
      </c>
    </row>
    <row r="18">
      <c r="A18" s="4" t="inlineStr">
        <is>
          <t>BAC</t>
        </is>
      </c>
      <c r="B18" s="6" t="inlineStr">
        <is>
          <t>NEUTRAL</t>
        </is>
      </c>
      <c r="C18" s="4" t="inlineStr"/>
      <c r="D18" s="4" t="inlineStr"/>
      <c r="E18" s="4" t="n">
        <v>0</v>
      </c>
      <c r="F18" s="4" t="n">
        <v>0</v>
      </c>
      <c r="G18" s="4" t="n">
        <v>54.01499938964844</v>
      </c>
      <c r="H18" s="4" t="n">
        <v>46.54831150017756</v>
      </c>
      <c r="I18" s="4" t="n">
        <v>0.1223755369631106</v>
      </c>
      <c r="J18" s="4" t="n">
        <v>0.5755624089561961</v>
      </c>
      <c r="K18" s="4" t="n">
        <v>-4.944556272541245</v>
      </c>
      <c r="L18" s="4" t="n">
        <v>10.466672837533</v>
      </c>
      <c r="M18" s="4" t="n">
        <v>2.075481661466062</v>
      </c>
    </row>
    <row r="19">
      <c r="A19" s="4" t="inlineStr">
        <is>
          <t>WFC</t>
        </is>
      </c>
      <c r="B19" s="6" t="inlineStr">
        <is>
          <t>NEUTRAL</t>
        </is>
      </c>
      <c r="C19" s="4" t="inlineStr"/>
      <c r="D19" s="4" t="inlineStr"/>
      <c r="E19" s="4" t="n">
        <v>0</v>
      </c>
      <c r="F19" s="4" t="n">
        <v>0</v>
      </c>
      <c r="G19" s="4" t="n">
        <v>92.41000366210938</v>
      </c>
      <c r="H19" s="4" t="n">
        <v>46.72366468229989</v>
      </c>
      <c r="I19" s="4" t="n">
        <v>0.285884276188792</v>
      </c>
      <c r="J19" s="4" t="n">
        <v>0.4725642236760885</v>
      </c>
      <c r="K19" s="4" t="n">
        <v>-4.010049301102414</v>
      </c>
      <c r="L19" s="4" t="n">
        <v>13.05698977748665</v>
      </c>
      <c r="M19" s="4" t="n">
        <v>2.489990511230626</v>
      </c>
    </row>
    <row r="20">
      <c r="A20" s="4" t="inlineStr">
        <is>
          <t>IBM</t>
        </is>
      </c>
      <c r="B20" s="6" t="inlineStr">
        <is>
          <t>NEUTRAL</t>
        </is>
      </c>
      <c r="C20" s="4" t="inlineStr"/>
      <c r="D20" s="4" t="inlineStr"/>
      <c r="E20" s="4" t="n">
        <v>0</v>
      </c>
      <c r="F20" s="4" t="n">
        <v>0</v>
      </c>
      <c r="G20" s="4" t="n">
        <v>285.6099853515625</v>
      </c>
      <c r="H20" s="4" t="n">
        <v>42.14483051965667</v>
      </c>
      <c r="I20" s="4" t="n">
        <v>0.1195824459431809</v>
      </c>
      <c r="J20" s="4" t="n">
        <v>1.339083181782494</v>
      </c>
      <c r="K20" s="4" t="n">
        <v>-3.064153405621317</v>
      </c>
      <c r="L20" s="4" t="n">
        <v>3.325250158461909</v>
      </c>
      <c r="M20" s="4" t="n">
        <v>3.886668924978045</v>
      </c>
    </row>
    <row r="21">
      <c r="A21" s="4" t="inlineStr">
        <is>
          <t>GE</t>
        </is>
      </c>
      <c r="B21" s="6" t="inlineStr">
        <is>
          <t>NEUTRAL</t>
        </is>
      </c>
      <c r="C21" s="4" t="inlineStr"/>
      <c r="D21" s="4" t="inlineStr"/>
      <c r="E21" s="4" t="n">
        <v>0</v>
      </c>
      <c r="F21" s="4" t="n">
        <v>0</v>
      </c>
      <c r="G21" s="4" t="n">
        <v>307.5394897460938</v>
      </c>
      <c r="H21" s="4" t="n">
        <v>38.30041092417868</v>
      </c>
      <c r="I21" s="4" t="n">
        <v>-0.8966182531390824</v>
      </c>
      <c r="J21" s="4" t="n">
        <v>0.3559648713572846</v>
      </c>
      <c r="K21" s="4" t="n">
        <v>-5.065005774753417</v>
      </c>
      <c r="L21" s="4" t="n">
        <v>11.95743520085364</v>
      </c>
      <c r="M21" s="4" t="n">
        <v>3.205857919498885</v>
      </c>
    </row>
    <row r="22">
      <c r="A22" s="4" t="inlineStr">
        <is>
          <t>PM</t>
        </is>
      </c>
      <c r="B22" s="7" t="inlineStr">
        <is>
          <t>BEARISH (Mixed)</t>
        </is>
      </c>
      <c r="C22" s="4" t="inlineStr">
        <is>
          <t>RS_LEADER, GOLDEN_CROSS</t>
        </is>
      </c>
      <c r="D22" s="4" t="inlineStr">
        <is>
          <t>OVERBOUGHT_WARNING</t>
        </is>
      </c>
      <c r="E22" s="4" t="n">
        <v>2</v>
      </c>
      <c r="F22" s="4" t="n">
        <v>1</v>
      </c>
      <c r="G22" s="4" t="n">
        <v>181.3999938964844</v>
      </c>
      <c r="H22" s="4" t="n">
        <v>75.5672244662435</v>
      </c>
      <c r="I22" s="4" t="n">
        <v>0.6952573621817804</v>
      </c>
      <c r="J22" s="4" t="n">
        <v>0.7203898995350926</v>
      </c>
      <c r="K22" s="4" t="n">
        <v>13.58334176827922</v>
      </c>
      <c r="L22" s="4" t="n">
        <v>10.97050809276656</v>
      </c>
      <c r="M22" s="4" t="n">
        <v>2.317292577857018</v>
      </c>
    </row>
    <row r="23">
      <c r="A23" s="4" t="inlineStr">
        <is>
          <t>VZ</t>
        </is>
      </c>
      <c r="B23" s="7" t="inlineStr">
        <is>
          <t>BEARISH (Mixed)</t>
        </is>
      </c>
      <c r="C23" s="4" t="inlineStr">
        <is>
          <t>RS_LEADER, GOLDEN_CROSS</t>
        </is>
      </c>
      <c r="D23" s="4" t="inlineStr">
        <is>
          <t>OVERBOUGHT_WARNING</t>
        </is>
      </c>
      <c r="E23" s="4" t="n">
        <v>2</v>
      </c>
      <c r="F23" s="4" t="n">
        <v>1</v>
      </c>
      <c r="G23" s="4" t="n">
        <v>46.41500091552734</v>
      </c>
      <c r="H23" s="4" t="n">
        <v>87.60791674238581</v>
      </c>
      <c r="I23" s="4" t="n">
        <v>0.743986502849028</v>
      </c>
      <c r="J23" s="4" t="n">
        <v>0.7890191138533938</v>
      </c>
      <c r="K23" s="4" t="n">
        <v>17.48487022433425</v>
      </c>
      <c r="L23" s="4" t="n">
        <v>13.76957057146025</v>
      </c>
      <c r="M23" s="4" t="n">
        <v>2.202950790177295</v>
      </c>
    </row>
    <row r="24">
      <c r="A24" s="4" t="inlineStr">
        <is>
          <t>XOM</t>
        </is>
      </c>
      <c r="B24" s="7" t="inlineStr">
        <is>
          <t>BEARISH (Mixed)</t>
        </is>
      </c>
      <c r="C24" s="4" t="inlineStr">
        <is>
          <t>RS_LEADER</t>
        </is>
      </c>
      <c r="D24" s="4" t="inlineStr">
        <is>
          <t>OVERBOUGHT_WARNING</t>
        </is>
      </c>
      <c r="E24" s="4" t="n">
        <v>1</v>
      </c>
      <c r="F24" s="4" t="n">
        <v>1</v>
      </c>
      <c r="G24" s="4" t="n">
        <v>142.8000030517578</v>
      </c>
      <c r="H24" s="4" t="n">
        <v>82.9683794649832</v>
      </c>
      <c r="I24" s="4" t="n">
        <v>0.7595376671541967</v>
      </c>
      <c r="J24" s="4" t="n">
        <v>0.8897550179898638</v>
      </c>
      <c r="K24" s="4" t="n">
        <v>14.02099152673728</v>
      </c>
      <c r="L24" s="4" t="n">
        <v>26.77428275048551</v>
      </c>
      <c r="M24" s="4" t="n">
        <v>2.194375551854565</v>
      </c>
    </row>
    <row r="25">
      <c r="A25" s="4" t="inlineStr">
        <is>
          <t>PG</t>
        </is>
      </c>
      <c r="B25" s="7" t="inlineStr">
        <is>
          <t>BEARISH (Mixed)</t>
        </is>
      </c>
      <c r="C25" s="4" t="inlineStr">
        <is>
          <t>RS_LEADER</t>
        </is>
      </c>
      <c r="D25" s="4" t="inlineStr">
        <is>
          <t>OVERBOUGHT_WARNING</t>
        </is>
      </c>
      <c r="E25" s="4" t="n">
        <v>1</v>
      </c>
      <c r="F25" s="4" t="n">
        <v>1</v>
      </c>
      <c r="G25" s="4" t="n">
        <v>155.5700988769531</v>
      </c>
      <c r="H25" s="4" t="n">
        <v>76.32833862824999</v>
      </c>
      <c r="I25" s="4" t="n">
        <v>1.013266594469874</v>
      </c>
      <c r="J25" s="4" t="n">
        <v>0.5453918887833794</v>
      </c>
      <c r="K25" s="4" t="n">
        <v>11.724544355374</v>
      </c>
      <c r="L25" s="4" t="n">
        <v>2.494827308063646</v>
      </c>
      <c r="M25" s="4" t="n">
        <v>1.705717520237425</v>
      </c>
    </row>
    <row r="26">
      <c r="A26" s="4" t="inlineStr">
        <is>
          <t>JNJ</t>
        </is>
      </c>
      <c r="B26" s="7" t="inlineStr">
        <is>
          <t>BEARISH (Mixed)</t>
        </is>
      </c>
      <c r="C26" s="4" t="inlineStr">
        <is>
          <t>RS_LEADER</t>
        </is>
      </c>
      <c r="D26" s="4" t="inlineStr">
        <is>
          <t>OVERBOUGHT_WARNING</t>
        </is>
      </c>
      <c r="E26" s="4" t="n">
        <v>1</v>
      </c>
      <c r="F26" s="4" t="n">
        <v>1</v>
      </c>
      <c r="G26" s="4" t="n">
        <v>234.375</v>
      </c>
      <c r="H26" s="4" t="n">
        <v>91.80951689084364</v>
      </c>
      <c r="I26" s="4" t="n">
        <v>1.263801679241171</v>
      </c>
      <c r="J26" s="4" t="n">
        <v>0.4719900672151415</v>
      </c>
      <c r="K26" s="4" t="n">
        <v>14.82444087248611</v>
      </c>
      <c r="L26" s="4" t="n">
        <v>30.94926878606074</v>
      </c>
      <c r="M26" s="4" t="n">
        <v>1.727086123511905</v>
      </c>
    </row>
    <row r="27">
      <c r="A27" s="4" t="inlineStr">
        <is>
          <t>WMT</t>
        </is>
      </c>
      <c r="B27" s="7" t="inlineStr">
        <is>
          <t>BEARISH (Mixed)</t>
        </is>
      </c>
      <c r="C27" s="4" t="inlineStr">
        <is>
          <t>RS_LEADER</t>
        </is>
      </c>
      <c r="D27" s="4" t="inlineStr">
        <is>
          <t>OVERBOUGHT_WARNING</t>
        </is>
      </c>
      <c r="E27" s="4" t="n">
        <v>1</v>
      </c>
      <c r="F27" s="4" t="n">
        <v>1</v>
      </c>
      <c r="G27" s="4" t="n">
        <v>127.0849990844727</v>
      </c>
      <c r="H27" s="4" t="n">
        <v>70.24991603302809</v>
      </c>
      <c r="I27" s="4" t="n">
        <v>0.5576106372317653</v>
      </c>
      <c r="J27" s="4" t="n">
        <v>0.3587658497724505</v>
      </c>
      <c r="K27" s="4" t="n">
        <v>12.86302648583892</v>
      </c>
      <c r="L27" s="4" t="n">
        <v>23.28468681674668</v>
      </c>
      <c r="M27" s="4" t="n">
        <v>2.10685637802662</v>
      </c>
    </row>
    <row r="28">
      <c r="A28" s="4" t="inlineStr">
        <is>
          <t>CVX</t>
        </is>
      </c>
      <c r="B28" s="7" t="inlineStr">
        <is>
          <t>BEARISH (Mixed)</t>
        </is>
      </c>
      <c r="C28" s="4" t="inlineStr">
        <is>
          <t>RS_LEADER</t>
        </is>
      </c>
      <c r="D28" s="4" t="inlineStr">
        <is>
          <t>OVERBOUGHT_WARNING</t>
        </is>
      </c>
      <c r="E28" s="4" t="n">
        <v>1</v>
      </c>
      <c r="F28" s="4" t="n">
        <v>1</v>
      </c>
      <c r="G28" s="4" t="n">
        <v>176.2100067138672</v>
      </c>
      <c r="H28" s="4" t="n">
        <v>77.66822151409798</v>
      </c>
      <c r="I28" s="4" t="n">
        <v>0.6835090701479398</v>
      </c>
      <c r="J28" s="4" t="n">
        <v>0.7218691570140711</v>
      </c>
      <c r="K28" s="4" t="n">
        <v>7.652541002040647</v>
      </c>
      <c r="L28" s="4" t="n">
        <v>17.85264393743778</v>
      </c>
      <c r="M28" s="4" t="n">
        <v>1.818686471996077</v>
      </c>
    </row>
    <row r="29">
      <c r="A29" s="4" t="inlineStr">
        <is>
          <t>KO</t>
        </is>
      </c>
      <c r="B29" s="7" t="inlineStr">
        <is>
          <t>BEARISH (Mixed)</t>
        </is>
      </c>
      <c r="C29" s="4" t="inlineStr">
        <is>
          <t>RS_LEADER</t>
        </is>
      </c>
      <c r="D29" s="4" t="inlineStr">
        <is>
          <t>OVERBOUGHT_WARNING</t>
        </is>
      </c>
      <c r="E29" s="4" t="n">
        <v>1</v>
      </c>
      <c r="F29" s="4" t="n">
        <v>1</v>
      </c>
      <c r="G29" s="4" t="n">
        <v>77.26999664306641</v>
      </c>
      <c r="H29" s="4" t="n">
        <v>80.36250735663589</v>
      </c>
      <c r="I29" s="4" t="n">
        <v>0.5355030481920281</v>
      </c>
      <c r="J29" s="4" t="n">
        <v>0.7774707370308563</v>
      </c>
      <c r="K29" s="4" t="n">
        <v>13.84175231606224</v>
      </c>
      <c r="L29" s="4" t="n">
        <v>11.52306009215174</v>
      </c>
      <c r="M29" s="4" t="n">
        <v>1.606610436418059</v>
      </c>
    </row>
    <row r="30">
      <c r="A30" s="4" t="inlineStr">
        <is>
          <t>PEP</t>
        </is>
      </c>
      <c r="B30" s="7" t="inlineStr">
        <is>
          <t>BEARISH (Mixed)</t>
        </is>
      </c>
      <c r="C30" s="4" t="inlineStr">
        <is>
          <t>RS_LEADER</t>
        </is>
      </c>
      <c r="D30" s="4" t="inlineStr">
        <is>
          <t>OVERBOUGHT_WARNING</t>
        </is>
      </c>
      <c r="E30" s="4" t="n">
        <v>1</v>
      </c>
      <c r="F30" s="4" t="n">
        <v>1</v>
      </c>
      <c r="G30" s="4" t="n">
        <v>162.0549926757812</v>
      </c>
      <c r="H30" s="4" t="n">
        <v>85.50943792496915</v>
      </c>
      <c r="I30" s="4" t="n">
        <v>1.680351503152937</v>
      </c>
      <c r="J30" s="4" t="n">
        <v>1.150430355431408</v>
      </c>
      <c r="K30" s="4" t="n">
        <v>15.92880644213117</v>
      </c>
      <c r="L30" s="4" t="n">
        <v>15.89928899048995</v>
      </c>
      <c r="M30" s="4" t="n">
        <v>1.968908943905074</v>
      </c>
    </row>
    <row r="31">
      <c r="A31" s="4" t="inlineStr">
        <is>
          <t>CSCO</t>
        </is>
      </c>
      <c r="B31" s="7" t="inlineStr">
        <is>
          <t>BEARISH (Mixed)</t>
        </is>
      </c>
      <c r="C31" s="4" t="inlineStr">
        <is>
          <t>RS_LEADER</t>
        </is>
      </c>
      <c r="D31" s="4" t="inlineStr">
        <is>
          <t>OVERBOUGHT_WARNING</t>
        </is>
      </c>
      <c r="E31" s="4" t="n">
        <v>1</v>
      </c>
      <c r="F31" s="4" t="n">
        <v>1</v>
      </c>
      <c r="G31" s="4" t="n">
        <v>82.37000274658203</v>
      </c>
      <c r="H31" s="4" t="n">
        <v>74.46809316519806</v>
      </c>
      <c r="I31" s="4" t="n">
        <v>0.7724797777274002</v>
      </c>
      <c r="J31" s="4" t="n">
        <v>0.8095901813793464</v>
      </c>
      <c r="K31" s="4" t="n">
        <v>9.092915173034566</v>
      </c>
      <c r="L31" s="4" t="n">
        <v>19.54779156343865</v>
      </c>
      <c r="M31" s="4" t="n">
        <v>2.159247988552587</v>
      </c>
    </row>
    <row r="32">
      <c r="A32" s="4" t="inlineStr">
        <is>
          <t>TXN</t>
        </is>
      </c>
      <c r="B32" s="7" t="inlineStr">
        <is>
          <t>BEARISH (Mixed)</t>
        </is>
      </c>
      <c r="C32" s="4" t="inlineStr">
        <is>
          <t>RS_LEADER</t>
        </is>
      </c>
      <c r="D32" s="4" t="inlineStr">
        <is>
          <t>OVERBOUGHT_WARNING</t>
        </is>
      </c>
      <c r="E32" s="4" t="n">
        <v>1</v>
      </c>
      <c r="F32" s="4" t="n">
        <v>1</v>
      </c>
      <c r="G32" s="4" t="n">
        <v>224.1600036621094</v>
      </c>
      <c r="H32" s="4" t="n">
        <v>81.52551687049097</v>
      </c>
      <c r="I32" s="4" t="n">
        <v>3.113150320707605</v>
      </c>
      <c r="J32" s="4" t="n">
        <v>0.8534558857106658</v>
      </c>
      <c r="K32" s="4" t="n">
        <v>27.45745814360476</v>
      </c>
      <c r="L32" s="4" t="n">
        <v>23.33586571537209</v>
      </c>
      <c r="M32" s="4" t="n">
        <v>3.026323768453692</v>
      </c>
    </row>
    <row r="33">
      <c r="A33" s="4" t="inlineStr">
        <is>
          <t>MSFT</t>
        </is>
      </c>
      <c r="B33" s="7" t="inlineStr">
        <is>
          <t>BEARISH</t>
        </is>
      </c>
      <c r="C33" s="4" t="inlineStr"/>
      <c r="D33" s="4" t="inlineStr">
        <is>
          <t>TREND_REVERSAL</t>
        </is>
      </c>
      <c r="E33" s="4" t="n">
        <v>0</v>
      </c>
      <c r="F33" s="4" t="n">
        <v>1</v>
      </c>
      <c r="G33" s="4" t="n">
        <v>412.0498962402344</v>
      </c>
      <c r="H33" s="4" t="n">
        <v>29.07323035892877</v>
      </c>
      <c r="I33" s="4" t="n">
        <v>-4.610291731151518</v>
      </c>
      <c r="J33" s="4" t="n">
        <v>0.9029731318126013</v>
      </c>
      <c r="K33" s="4" t="n">
        <v>-12.74916732741994</v>
      </c>
      <c r="L33" s="4" t="n">
        <v>-15.08284803375299</v>
      </c>
      <c r="M33" s="4" t="n">
        <v>3.659577348656141</v>
      </c>
    </row>
    <row r="34">
      <c r="A34" s="4" t="inlineStr">
        <is>
          <t>BRK-B</t>
        </is>
      </c>
      <c r="B34" s="7" t="inlineStr">
        <is>
          <t>BEARISH</t>
        </is>
      </c>
      <c r="C34" s="4" t="inlineStr"/>
      <c r="D34" s="4" t="inlineStr">
        <is>
          <t>DEATH_CROSS</t>
        </is>
      </c>
      <c r="E34" s="4" t="n">
        <v>0</v>
      </c>
      <c r="F34" s="4" t="n">
        <v>1</v>
      </c>
      <c r="G34" s="4" t="n">
        <v>494.8399963378906</v>
      </c>
      <c r="H34" s="4" t="n">
        <v>49.63477574667977</v>
      </c>
      <c r="I34" s="4" t="n">
        <v>0.7014891106412708</v>
      </c>
      <c r="J34" s="4" t="n">
        <v>0.6996434662421893</v>
      </c>
      <c r="K34" s="4" t="n">
        <v>-0.6291275589442646</v>
      </c>
      <c r="L34" s="4" t="n">
        <v>0.08691100508834597</v>
      </c>
      <c r="M34" s="4" t="n">
        <v>1.3766345079481</v>
      </c>
    </row>
    <row r="35">
      <c r="A35" s="4" t="inlineStr">
        <is>
          <t>LLY</t>
        </is>
      </c>
      <c r="B35" s="7" t="inlineStr">
        <is>
          <t>BEARISH</t>
        </is>
      </c>
      <c r="C35" s="4" t="inlineStr"/>
      <c r="D35" s="4" t="inlineStr">
        <is>
          <t>TREND_REVERSAL</t>
        </is>
      </c>
      <c r="E35" s="4" t="n">
        <v>0</v>
      </c>
      <c r="F35" s="4" t="n">
        <v>1</v>
      </c>
      <c r="G35" s="4" t="n">
        <v>996.489990234375</v>
      </c>
      <c r="H35" s="4" t="n">
        <v>32.47025537816174</v>
      </c>
      <c r="I35" s="4" t="n">
        <v>-7.220117179567508</v>
      </c>
      <c r="J35" s="4" t="n">
        <v>0.9412509070165375</v>
      </c>
      <c r="K35" s="4" t="n">
        <v>-4.213515933483936</v>
      </c>
      <c r="L35" s="4" t="n">
        <v>16.6494640804194</v>
      </c>
      <c r="M35" s="4" t="n">
        <v>3.262878341707279</v>
      </c>
    </row>
    <row r="36">
      <c r="A36" s="4" t="inlineStr">
        <is>
          <t>AVGO</t>
        </is>
      </c>
      <c r="B36" s="7" t="inlineStr">
        <is>
          <t>BEARISH</t>
        </is>
      </c>
      <c r="C36" s="4" t="inlineStr"/>
      <c r="D36" s="4" t="inlineStr">
        <is>
          <t>TREND_REVERSAL</t>
        </is>
      </c>
      <c r="E36" s="4" t="n">
        <v>0</v>
      </c>
      <c r="F36" s="4" t="n">
        <v>1</v>
      </c>
      <c r="G36" s="4" t="n">
        <v>311.32080078125</v>
      </c>
      <c r="H36" s="4" t="n">
        <v>27.08332525554879</v>
      </c>
      <c r="I36" s="4" t="n">
        <v>-0.802886351917504</v>
      </c>
      <c r="J36" s="4" t="n">
        <v>0.7740717535401661</v>
      </c>
      <c r="K36" s="4" t="n">
        <v>-9.237869437394043</v>
      </c>
      <c r="L36" s="4" t="n">
        <v>1.753000136966711</v>
      </c>
      <c r="M36" s="4" t="n">
        <v>4.516240271605242</v>
      </c>
    </row>
    <row r="37">
      <c r="A37" s="4" t="inlineStr">
        <is>
          <t>TSLA</t>
        </is>
      </c>
      <c r="B37" s="7" t="inlineStr">
        <is>
          <t>BEARISH</t>
        </is>
      </c>
      <c r="C37" s="4" t="inlineStr"/>
      <c r="D37" s="4" t="inlineStr">
        <is>
          <t>TREND_REVERSAL</t>
        </is>
      </c>
      <c r="E37" s="4" t="n">
        <v>0</v>
      </c>
      <c r="F37" s="4" t="n">
        <v>1</v>
      </c>
      <c r="G37" s="4" t="n">
        <v>417.4400024414062</v>
      </c>
      <c r="H37" s="4" t="n">
        <v>37.47474207763076</v>
      </c>
      <c r="I37" s="4" t="n">
        <v>-1.835857511331987</v>
      </c>
      <c r="J37" s="4" t="n">
        <v>0.5867998731667856</v>
      </c>
      <c r="K37" s="4" t="n">
        <v>-7.469488047042804</v>
      </c>
      <c r="L37" s="4" t="n">
        <v>10.15973138864257</v>
      </c>
      <c r="M37" s="4" t="n">
        <v>3.498021811178481</v>
      </c>
    </row>
    <row r="38">
      <c r="A38" s="4" t="inlineStr">
        <is>
          <t>UNH</t>
        </is>
      </c>
      <c r="B38" s="7" t="inlineStr">
        <is>
          <t>BEARISH</t>
        </is>
      </c>
      <c r="C38" s="4" t="inlineStr"/>
      <c r="D38" s="4" t="inlineStr">
        <is>
          <t>TREND_REVERSAL, DEATH_CROSS</t>
        </is>
      </c>
      <c r="E38" s="4" t="n">
        <v>0</v>
      </c>
      <c r="F38" s="4" t="n">
        <v>2</v>
      </c>
      <c r="G38" s="4" t="n">
        <v>281.2799987792969</v>
      </c>
      <c r="H38" s="4" t="n">
        <v>30.61915662913174</v>
      </c>
      <c r="I38" s="4" t="n">
        <v>-6.972059987514012</v>
      </c>
      <c r="J38" s="4" t="n">
        <v>0.5212765275211731</v>
      </c>
      <c r="K38" s="4" t="n">
        <v>-17.65013706805865</v>
      </c>
      <c r="L38" s="4" t="n">
        <v>-12.89791418189079</v>
      </c>
      <c r="M38" s="4" t="n">
        <v>4.744130636735624</v>
      </c>
    </row>
    <row r="39">
      <c r="A39" s="4" t="inlineStr">
        <is>
          <t>NFLX</t>
        </is>
      </c>
      <c r="B39" s="7" t="inlineStr">
        <is>
          <t>BEARISH</t>
        </is>
      </c>
      <c r="C39" s="4" t="inlineStr"/>
      <c r="D39" s="4" t="inlineStr">
        <is>
          <t>TREND_REVERSAL</t>
        </is>
      </c>
      <c r="E39" s="4" t="n">
        <v>0</v>
      </c>
      <c r="F39" s="4" t="n">
        <v>1</v>
      </c>
      <c r="G39" s="4" t="n">
        <v>80.34580230712891</v>
      </c>
      <c r="H39" s="4" t="n">
        <v>18.42447212217705</v>
      </c>
      <c r="I39" s="4" t="n">
        <v>-0.1215313421227497</v>
      </c>
      <c r="J39" s="4" t="n">
        <v>0.4580453953505805</v>
      </c>
      <c r="K39" s="4" t="n">
        <v>-12.04291958947706</v>
      </c>
      <c r="L39" s="4" t="n">
        <v>-28.69125429161799</v>
      </c>
      <c r="M39" s="4" t="n">
        <v>3.049320857523906</v>
      </c>
    </row>
    <row r="40">
      <c r="A40" s="4" t="inlineStr">
        <is>
          <t>CRM</t>
        </is>
      </c>
      <c r="B40" s="7" t="inlineStr">
        <is>
          <t>BEARISH</t>
        </is>
      </c>
      <c r="C40" s="4" t="inlineStr"/>
      <c r="D40" s="4" t="inlineStr">
        <is>
          <t>TREND_REVERSAL</t>
        </is>
      </c>
      <c r="E40" s="4" t="n">
        <v>0</v>
      </c>
      <c r="F40" s="4" t="n">
        <v>1</v>
      </c>
      <c r="G40" s="4" t="n">
        <v>193.6300048828125</v>
      </c>
      <c r="H40" s="4" t="n">
        <v>14.16047544179494</v>
      </c>
      <c r="I40" s="4" t="n">
        <v>-3.394810110662924</v>
      </c>
      <c r="J40" s="4" t="n">
        <v>1.228192034717072</v>
      </c>
      <c r="K40" s="4" t="n">
        <v>-24.3309668110391</v>
      </c>
      <c r="L40" s="4" t="n">
        <v>-23.46720274296212</v>
      </c>
      <c r="M40" s="4" t="n">
        <v>4.089537965396375</v>
      </c>
    </row>
    <row r="41">
      <c r="A41" s="4" t="inlineStr">
        <is>
          <t>TMO</t>
        </is>
      </c>
      <c r="B41" s="7" t="inlineStr">
        <is>
          <t>BEARISH</t>
        </is>
      </c>
      <c r="C41" s="4" t="inlineStr"/>
      <c r="D41" s="4" t="inlineStr">
        <is>
          <t>TREND_REVERSAL</t>
        </is>
      </c>
      <c r="E41" s="4" t="n">
        <v>0</v>
      </c>
      <c r="F41" s="4" t="n">
        <v>1</v>
      </c>
      <c r="G41" s="4" t="n">
        <v>572.9600219726562</v>
      </c>
      <c r="H41" s="4" t="n">
        <v>35.58149923809347</v>
      </c>
      <c r="I41" s="4" t="n">
        <v>-7.398257537004733</v>
      </c>
      <c r="J41" s="4" t="n">
        <v>0.3250185646233489</v>
      </c>
      <c r="K41" s="4" t="n">
        <v>-6.147486764068566</v>
      </c>
      <c r="L41" s="4" t="n">
        <v>14.74792033744178</v>
      </c>
      <c r="M41" s="4" t="n">
        <v>2.714286277351871</v>
      </c>
    </row>
    <row r="42">
      <c r="A42" s="4" t="inlineStr">
        <is>
          <t>ORCL</t>
        </is>
      </c>
      <c r="B42" s="7" t="inlineStr">
        <is>
          <t>BEARISH</t>
        </is>
      </c>
      <c r="C42" s="4" t="inlineStr"/>
      <c r="D42" s="4" t="inlineStr">
        <is>
          <t>TREND_REVERSAL</t>
        </is>
      </c>
      <c r="E42" s="4" t="n">
        <v>0</v>
      </c>
      <c r="F42" s="4" t="n">
        <v>1</v>
      </c>
      <c r="G42" s="4" t="n">
        <v>153.0200042724609</v>
      </c>
      <c r="H42" s="4" t="n">
        <v>15.2587583712526</v>
      </c>
      <c r="I42" s="4" t="n">
        <v>-2.379507853235504</v>
      </c>
      <c r="J42" s="4" t="n">
        <v>1.03823391702485</v>
      </c>
      <c r="K42" s="4" t="n">
        <v>-20.22714977270387</v>
      </c>
      <c r="L42" s="4" t="n">
        <v>-30.12077459627998</v>
      </c>
      <c r="M42" s="4" t="n">
        <v>5.608041444575962</v>
      </c>
    </row>
    <row r="43">
      <c r="A43" s="4" t="inlineStr">
        <is>
          <t>ACN</t>
        </is>
      </c>
      <c r="B43" s="7" t="inlineStr">
        <is>
          <t>BEARISH</t>
        </is>
      </c>
      <c r="C43" s="4" t="inlineStr"/>
      <c r="D43" s="4" t="inlineStr">
        <is>
          <t>TREND_REVERSAL</t>
        </is>
      </c>
      <c r="E43" s="4" t="n">
        <v>0</v>
      </c>
      <c r="F43" s="4" t="n">
        <v>1</v>
      </c>
      <c r="G43" s="4" t="n">
        <v>239.5</v>
      </c>
      <c r="H43" s="4" t="n">
        <v>30.70957433242046</v>
      </c>
      <c r="I43" s="4" t="n">
        <v>-4.199186346095176</v>
      </c>
      <c r="J43" s="4" t="n">
        <v>1.207216903195742</v>
      </c>
      <c r="K43" s="4" t="n">
        <v>-9.164377565336313</v>
      </c>
      <c r="L43" s="4" t="n">
        <v>-11.7273676639961</v>
      </c>
      <c r="M43" s="4" t="n">
        <v>4.481958695891506</v>
      </c>
    </row>
    <row r="44">
      <c r="A44" s="4" t="inlineStr">
        <is>
          <t>ADBE</t>
        </is>
      </c>
      <c r="B44" s="7" t="inlineStr">
        <is>
          <t>BEARISH</t>
        </is>
      </c>
      <c r="C44" s="4" t="inlineStr"/>
      <c r="D44" s="4" t="inlineStr">
        <is>
          <t>TREND_REVERSAL</t>
        </is>
      </c>
      <c r="E44" s="4" t="n">
        <v>0</v>
      </c>
      <c r="F44" s="4" t="n">
        <v>1</v>
      </c>
      <c r="G44" s="4" t="n">
        <v>271.9544067382812</v>
      </c>
      <c r="H44" s="4" t="n">
        <v>24.49781945765157</v>
      </c>
      <c r="I44" s="4" t="n">
        <v>-1.669990765855632</v>
      </c>
      <c r="J44" s="4" t="n">
        <v>0.9502775298159136</v>
      </c>
      <c r="K44" s="4" t="n">
        <v>-17.86826068680837</v>
      </c>
      <c r="L44" s="4" t="n">
        <v>-23.53148361836749</v>
      </c>
      <c r="M44" s="4" t="n">
        <v>3.180942476038803</v>
      </c>
    </row>
    <row r="45">
      <c r="A45" s="4" t="inlineStr">
        <is>
          <t>ABT</t>
        </is>
      </c>
      <c r="B45" s="7" t="inlineStr">
        <is>
          <t>BEARISH</t>
        </is>
      </c>
      <c r="C45" s="4" t="inlineStr"/>
      <c r="D45" s="4" t="inlineStr">
        <is>
          <t>TREND_REVERSAL</t>
        </is>
      </c>
      <c r="E45" s="4" t="n">
        <v>0</v>
      </c>
      <c r="F45" s="4" t="n">
        <v>1</v>
      </c>
      <c r="G45" s="4" t="n">
        <v>108.7699966430664</v>
      </c>
      <c r="H45" s="4" t="n">
        <v>21.02337489727684</v>
      </c>
      <c r="I45" s="4" t="n">
        <v>-0.7524210115831131</v>
      </c>
      <c r="J45" s="4" t="n">
        <v>0.4674513268516294</v>
      </c>
      <c r="K45" s="4" t="n">
        <v>-13.43702903510795</v>
      </c>
      <c r="L45" s="4" t="n">
        <v>-14.89498410718844</v>
      </c>
      <c r="M45" s="4" t="n">
        <v>3.133704705401338</v>
      </c>
    </row>
    <row r="46">
      <c r="A46" s="4" t="inlineStr">
        <is>
          <t>NOW</t>
        </is>
      </c>
      <c r="B46" s="7" t="inlineStr">
        <is>
          <t>BEARISH</t>
        </is>
      </c>
      <c r="C46" s="4" t="inlineStr"/>
      <c r="D46" s="4" t="inlineStr">
        <is>
          <t>TREND_REVERSAL</t>
        </is>
      </c>
      <c r="E46" s="4" t="n">
        <v>0</v>
      </c>
      <c r="F46" s="4" t="n">
        <v>1</v>
      </c>
      <c r="G46" s="4" t="n">
        <v>109.0250015258789</v>
      </c>
      <c r="H46" s="4" t="n">
        <v>22.88741160091095</v>
      </c>
      <c r="I46" s="4" t="n">
        <v>-1.269008560281321</v>
      </c>
      <c r="J46" s="4" t="n">
        <v>1.047743875625947</v>
      </c>
      <c r="K46" s="4" t="n">
        <v>-26.02576985308493</v>
      </c>
      <c r="L46" s="4" t="n">
        <v>-38.88207031703771</v>
      </c>
      <c r="M46" s="4" t="n">
        <v>5.359191849516462</v>
      </c>
    </row>
    <row r="47">
      <c r="A47" s="4" t="inlineStr">
        <is>
          <t>DIS</t>
        </is>
      </c>
      <c r="B47" s="7" t="inlineStr">
        <is>
          <t>BEARISH</t>
        </is>
      </c>
      <c r="C47" s="4" t="inlineStr"/>
      <c r="D47" s="4" t="inlineStr">
        <is>
          <t>TREND_REVERSAL</t>
        </is>
      </c>
      <c r="E47" s="4" t="n">
        <v>0</v>
      </c>
      <c r="F47" s="4" t="n">
        <v>1</v>
      </c>
      <c r="G47" s="4" t="n">
        <v>103.6800003051758</v>
      </c>
      <c r="H47" s="4" t="n">
        <v>30.02576559405065</v>
      </c>
      <c r="I47" s="4" t="n">
        <v>-0.9692322444866964</v>
      </c>
      <c r="J47" s="4" t="n">
        <v>1.213124390121108</v>
      </c>
      <c r="K47" s="4" t="n">
        <v>-8.999385658110949</v>
      </c>
      <c r="L47" s="4" t="n">
        <v>-6.991380852492626</v>
      </c>
      <c r="M47" s="4" t="n">
        <v>2.637923912411027</v>
      </c>
    </row>
    <row r="48">
      <c r="A48" s="4" t="inlineStr">
        <is>
          <t>ISRG</t>
        </is>
      </c>
      <c r="B48" s="7" t="inlineStr">
        <is>
          <t>BEARISH</t>
        </is>
      </c>
      <c r="C48" s="4" t="inlineStr"/>
      <c r="D48" s="4" t="inlineStr">
        <is>
          <t>TREND_REVERSAL</t>
        </is>
      </c>
      <c r="E48" s="4" t="n">
        <v>0</v>
      </c>
      <c r="F48" s="4" t="n">
        <v>1</v>
      </c>
      <c r="G48" s="4" t="n">
        <v>479.7749938964844</v>
      </c>
      <c r="H48" s="4" t="n">
        <v>7.234820033016575</v>
      </c>
      <c r="I48" s="4" t="n">
        <v>-5.689315279905724</v>
      </c>
      <c r="J48" s="4" t="n">
        <v>0.5597055031300342</v>
      </c>
      <c r="K48" s="4" t="n">
        <v>-15.18191651847456</v>
      </c>
      <c r="L48" s="4" t="n">
        <v>-7.085961583870143</v>
      </c>
      <c r="M48" s="4" t="n">
        <v>3.038625958073227</v>
      </c>
    </row>
    <row r="49">
      <c r="A49" s="4" t="inlineStr">
        <is>
          <t>QCOM</t>
        </is>
      </c>
      <c r="B49" s="7" t="inlineStr">
        <is>
          <t>BEARISH</t>
        </is>
      </c>
      <c r="C49" s="4" t="inlineStr"/>
      <c r="D49" s="4" t="inlineStr">
        <is>
          <t>TREND_REVERSAL</t>
        </is>
      </c>
      <c r="E49" s="4" t="n">
        <v>0</v>
      </c>
      <c r="F49" s="4" t="n">
        <v>1</v>
      </c>
      <c r="G49" s="4" t="n">
        <v>145.2799987792969</v>
      </c>
      <c r="H49" s="4" t="n">
        <v>16.11919120622009</v>
      </c>
      <c r="I49" s="4" t="n">
        <v>-1.082417183453445</v>
      </c>
      <c r="J49" s="4" t="n">
        <v>0.6419515855117287</v>
      </c>
      <c r="K49" s="4" t="n">
        <v>-17.49062591316232</v>
      </c>
      <c r="L49" s="4" t="n">
        <v>-8.997925058507123</v>
      </c>
      <c r="M49" s="4" t="n">
        <v>2.624978074943257</v>
      </c>
    </row>
    <row r="50">
      <c r="A50" s="4" t="inlineStr">
        <is>
          <t>INTU</t>
        </is>
      </c>
      <c r="B50" s="7" t="inlineStr">
        <is>
          <t>BEARISH</t>
        </is>
      </c>
      <c r="C50" s="4" t="inlineStr"/>
      <c r="D50" s="4" t="inlineStr">
        <is>
          <t>TREND_REVERSAL</t>
        </is>
      </c>
      <c r="E50" s="4" t="n">
        <v>0</v>
      </c>
      <c r="F50" s="4" t="n">
        <v>1</v>
      </c>
      <c r="G50" s="4" t="n">
        <v>429.7398986816406</v>
      </c>
      <c r="H50" s="4" t="n">
        <v>15.39582535973103</v>
      </c>
      <c r="I50" s="4" t="n">
        <v>-9.950464600182841</v>
      </c>
      <c r="J50" s="4" t="n">
        <v>1.473766564239035</v>
      </c>
      <c r="K50" s="4" t="n">
        <v>-31.96664930741308</v>
      </c>
      <c r="L50" s="4" t="n">
        <v>-36.52796839824769</v>
      </c>
      <c r="M50" s="4" t="n">
        <v>5.736030424617762</v>
      </c>
    </row>
    <row r="51">
      <c r="A51" s="4" t="inlineStr">
        <is>
          <t>BKNG</t>
        </is>
      </c>
      <c r="B51" s="7" t="inlineStr">
        <is>
          <t>BEARISH</t>
        </is>
      </c>
      <c r="C51" s="4" t="inlineStr"/>
      <c r="D51" s="4" t="inlineStr">
        <is>
          <t>TREND_REVERSAL</t>
        </is>
      </c>
      <c r="E51" s="4" t="n">
        <v>0</v>
      </c>
      <c r="F51" s="4" t="n">
        <v>1</v>
      </c>
      <c r="G51" s="4" t="n">
        <v>4658.39013671875</v>
      </c>
      <c r="H51" s="4" t="n">
        <v>25.66408788964549</v>
      </c>
      <c r="I51" s="4" t="n">
        <v>-41.33810119849944</v>
      </c>
      <c r="J51" s="4" t="n">
        <v>1.486095169390368</v>
      </c>
      <c r="K51" s="4" t="n">
        <v>-13.10001965792214</v>
      </c>
      <c r="L51" s="4" t="n">
        <v>-12.22349484458034</v>
      </c>
      <c r="M51" s="4" t="n">
        <v>3.379875539887355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Signal</t>
        </is>
      </c>
      <c r="C1" s="8" t="inlineStr">
        <is>
          <t>Bullish_Setups</t>
        </is>
      </c>
      <c r="D1" s="8" t="inlineStr">
        <is>
          <t>Bearish_Setups</t>
        </is>
      </c>
      <c r="E1" s="8" t="inlineStr">
        <is>
          <t>Num_Bullish</t>
        </is>
      </c>
      <c r="F1" s="8" t="inlineStr">
        <is>
          <t>Num_Bearish</t>
        </is>
      </c>
      <c r="G1" s="8" t="inlineStr">
        <is>
          <t>Price</t>
        </is>
      </c>
      <c r="H1" s="8" t="inlineStr">
        <is>
          <t>RSI</t>
        </is>
      </c>
      <c r="I1" s="8" t="inlineStr">
        <is>
          <t>MACD_Hist</t>
        </is>
      </c>
      <c r="J1" s="8" t="inlineStr">
        <is>
          <t>Vol_Ratio</t>
        </is>
      </c>
      <c r="K1" s="8" t="inlineStr">
        <is>
          <t>RS_vs_SPY</t>
        </is>
      </c>
      <c r="L1" s="8" t="inlineStr">
        <is>
          <t>Dist_200_SMA</t>
        </is>
      </c>
      <c r="M1" s="8" t="inlineStr">
        <is>
          <t>ATR_Pct</t>
        </is>
      </c>
    </row>
    <row r="2">
      <c r="A2" s="4" t="inlineStr">
        <is>
          <t>HD</t>
        </is>
      </c>
      <c r="B2" s="4" t="inlineStr">
        <is>
          <t>BULLISH</t>
        </is>
      </c>
      <c r="C2" s="4" t="inlineStr">
        <is>
          <t>PULLBACK_SUPPORT, RS_LEADER</t>
        </is>
      </c>
      <c r="D2" s="4" t="inlineStr"/>
      <c r="E2" s="4" t="n">
        <v>2</v>
      </c>
      <c r="F2" s="4" t="n">
        <v>0</v>
      </c>
      <c r="G2" s="4" t="n">
        <v>381.6950073242188</v>
      </c>
      <c r="H2" s="4" t="n">
        <v>51.73578521371764</v>
      </c>
      <c r="I2" s="4" t="n">
        <v>-0.5404511778864602</v>
      </c>
      <c r="J2" s="4" t="n">
        <v>0.6304109049678581</v>
      </c>
      <c r="K2" s="4" t="n">
        <v>11.03788608543266</v>
      </c>
      <c r="L2" s="4" t="n">
        <v>2.708986427320164</v>
      </c>
      <c r="M2" s="4" t="n">
        <v>2.118745896280635</v>
      </c>
    </row>
    <row r="3">
      <c r="A3" s="4" t="inlineStr">
        <is>
          <t>NVDA</t>
        </is>
      </c>
      <c r="B3" s="4" t="inlineStr">
        <is>
          <t>BULLISH</t>
        </is>
      </c>
      <c r="C3" s="4" t="inlineStr">
        <is>
          <t>PULLBACK_SUPPORT</t>
        </is>
      </c>
      <c r="D3" s="4" t="inlineStr"/>
      <c r="E3" s="4" t="n">
        <v>1</v>
      </c>
      <c r="F3" s="4" t="n">
        <v>0</v>
      </c>
      <c r="G3" s="4" t="n">
        <v>179</v>
      </c>
      <c r="H3" s="4" t="n">
        <v>42.58331350232454</v>
      </c>
      <c r="I3" s="4" t="n">
        <v>-0.3627441438077206</v>
      </c>
      <c r="J3" s="4" t="n">
        <v>0.7222534245975941</v>
      </c>
      <c r="K3" s="4" t="n">
        <v>-4.738910895682003</v>
      </c>
      <c r="L3" s="4" t="n">
        <v>6.24217617329344</v>
      </c>
      <c r="M3" s="4" t="n">
        <v>3.073024521422025</v>
      </c>
    </row>
    <row r="4">
      <c r="A4" s="4" t="inlineStr">
        <is>
          <t>GOOGL</t>
        </is>
      </c>
      <c r="B4" s="4" t="inlineStr">
        <is>
          <t>BULLISH</t>
        </is>
      </c>
      <c r="C4" s="4" t="inlineStr">
        <is>
          <t>RS_LEADER</t>
        </is>
      </c>
      <c r="D4" s="4" t="inlineStr"/>
      <c r="E4" s="4" t="n">
        <v>1</v>
      </c>
      <c r="F4" s="4" t="n">
        <v>0</v>
      </c>
      <c r="G4" s="4" t="n">
        <v>340.3537902832031</v>
      </c>
      <c r="H4" s="4" t="n">
        <v>54.90178548273278</v>
      </c>
      <c r="I4" s="4" t="n">
        <v>0.3691395216332491</v>
      </c>
      <c r="J4" s="4" t="n">
        <v>0.599712748617766</v>
      </c>
      <c r="K4" s="4" t="n">
        <v>7.632206674634734</v>
      </c>
      <c r="L4" s="4" t="n">
        <v>44.16215280378849</v>
      </c>
      <c r="M4" s="4" t="n">
        <v>2.45983389230687</v>
      </c>
    </row>
    <row r="5">
      <c r="A5" s="4" t="inlineStr">
        <is>
          <t>AMZN</t>
        </is>
      </c>
      <c r="B5" s="4" t="inlineStr">
        <is>
          <t>BULLISH</t>
        </is>
      </c>
      <c r="C5" s="4" t="inlineStr">
        <is>
          <t>PULLBACK_SUPPORT</t>
        </is>
      </c>
      <c r="D5" s="4" t="inlineStr"/>
      <c r="E5" s="4" t="n">
        <v>1</v>
      </c>
      <c r="F5" s="4" t="n">
        <v>0</v>
      </c>
      <c r="G5" s="4" t="n">
        <v>236.5500030517578</v>
      </c>
      <c r="H5" s="4" t="n">
        <v>43.58430341780628</v>
      </c>
      <c r="I5" s="4" t="n">
        <v>-0.2330822110142681</v>
      </c>
      <c r="J5" s="4" t="n">
        <v>0.7539459211108727</v>
      </c>
      <c r="K5" s="4" t="n">
        <v>1.60652685153071</v>
      </c>
      <c r="L5" s="4" t="n">
        <v>6.356385774344927</v>
      </c>
      <c r="M5" s="4" t="n">
        <v>2.585077596541846</v>
      </c>
    </row>
    <row r="6">
      <c r="A6" s="4" t="inlineStr">
        <is>
          <t>META</t>
        </is>
      </c>
      <c r="B6" s="4" t="inlineStr">
        <is>
          <t>BULLISH</t>
        </is>
      </c>
      <c r="C6" s="4" t="inlineStr">
        <is>
          <t>RS_LEADER</t>
        </is>
      </c>
      <c r="D6" s="4" t="inlineStr"/>
      <c r="E6" s="4" t="n">
        <v>1</v>
      </c>
      <c r="F6" s="4" t="n">
        <v>0</v>
      </c>
      <c r="G6" s="4" t="n">
        <v>691.4000244140625</v>
      </c>
      <c r="H6" s="4" t="n">
        <v>63.27771072535138</v>
      </c>
      <c r="I6" s="4" t="n">
        <v>7.895071142646679</v>
      </c>
      <c r="J6" s="4" t="n">
        <v>0.4286907309584537</v>
      </c>
      <c r="K6" s="4" t="n">
        <v>5.059047283798868</v>
      </c>
      <c r="L6" s="4" t="n">
        <v>1.308866263437831</v>
      </c>
      <c r="M6" s="4" t="n">
        <v>3.389498462745944</v>
      </c>
    </row>
    <row r="7">
      <c r="A7" s="4" t="inlineStr">
        <is>
          <t>COST</t>
        </is>
      </c>
      <c r="B7" s="4" t="inlineStr">
        <is>
          <t>BULLISH</t>
        </is>
      </c>
      <c r="C7" s="4" t="inlineStr">
        <is>
          <t>RS_LEADER</t>
        </is>
      </c>
      <c r="D7" s="4" t="inlineStr"/>
      <c r="E7" s="4" t="n">
        <v>1</v>
      </c>
      <c r="F7" s="4" t="n">
        <v>0</v>
      </c>
      <c r="G7" s="4" t="n">
        <v>986</v>
      </c>
      <c r="H7" s="4" t="n">
        <v>65.96627713801723</v>
      </c>
      <c r="I7" s="4" t="n">
        <v>-0.3720448028421863</v>
      </c>
      <c r="J7" s="4" t="n">
        <v>0.622106982470363</v>
      </c>
      <c r="K7" s="4" t="n">
        <v>12.85336808816602</v>
      </c>
      <c r="L7" s="4" t="n">
        <v>3.933661440077602</v>
      </c>
      <c r="M7" s="4" t="n">
        <v>1.869246822991387</v>
      </c>
    </row>
    <row r="8">
      <c r="A8" s="4" t="inlineStr">
        <is>
          <t>MRK</t>
        </is>
      </c>
      <c r="B8" s="4" t="inlineStr">
        <is>
          <t>BULLISH</t>
        </is>
      </c>
      <c r="C8" s="4" t="inlineStr">
        <is>
          <t>RS_LEADER</t>
        </is>
      </c>
      <c r="D8" s="4" t="inlineStr"/>
      <c r="E8" s="4" t="n">
        <v>1</v>
      </c>
      <c r="F8" s="4" t="n">
        <v>0</v>
      </c>
      <c r="G8" s="4" t="n">
        <v>116.1949996948242</v>
      </c>
      <c r="H8" s="4" t="n">
        <v>68.23718994062712</v>
      </c>
      <c r="I8" s="4" t="n">
        <v>0.1800305497729819</v>
      </c>
      <c r="J8" s="4" t="n">
        <v>1.052698500408277</v>
      </c>
      <c r="K8" s="4" t="n">
        <v>8.257787451474275</v>
      </c>
      <c r="L8" s="4" t="n">
        <v>33.45750246357045</v>
      </c>
      <c r="M8" s="4" t="n">
        <v>2.516706386906285</v>
      </c>
    </row>
    <row r="9">
      <c r="A9" s="4" t="inlineStr">
        <is>
          <t>AMD</t>
        </is>
      </c>
      <c r="B9" s="4" t="inlineStr">
        <is>
          <t>BULLISH</t>
        </is>
      </c>
      <c r="C9" s="4" t="inlineStr">
        <is>
          <t>RS_LEADER</t>
        </is>
      </c>
      <c r="D9" s="4" t="inlineStr"/>
      <c r="E9" s="4" t="n">
        <v>1</v>
      </c>
      <c r="F9" s="4" t="n">
        <v>0</v>
      </c>
      <c r="G9" s="4" t="n">
        <v>240.10009765625</v>
      </c>
      <c r="H9" s="4" t="n">
        <v>61.92204639528577</v>
      </c>
      <c r="I9" s="4" t="n">
        <v>0.03044299650395033</v>
      </c>
      <c r="J9" s="4" t="n">
        <v>0.565004201691236</v>
      </c>
      <c r="K9" s="4" t="n">
        <v>8.712319842330608</v>
      </c>
      <c r="L9" s="4" t="n">
        <v>35.40768346091292</v>
      </c>
      <c r="M9" s="4" t="n">
        <v>5.271013850656944</v>
      </c>
    </row>
    <row r="10">
      <c r="A10" s="4" t="inlineStr">
        <is>
          <t>LIN</t>
        </is>
      </c>
      <c r="B10" s="4" t="inlineStr">
        <is>
          <t>BULLISH</t>
        </is>
      </c>
      <c r="C10" s="4" t="inlineStr">
        <is>
          <t>RS_LEADER</t>
        </is>
      </c>
      <c r="D10" s="4" t="inlineStr"/>
      <c r="E10" s="4" t="n">
        <v>1</v>
      </c>
      <c r="F10" s="4" t="n">
        <v>0</v>
      </c>
      <c r="G10" s="4" t="n">
        <v>463.8500061035156</v>
      </c>
      <c r="H10" s="4" t="n">
        <v>71.99245229826877</v>
      </c>
      <c r="I10" s="4" t="n">
        <v>1.185754936627221</v>
      </c>
      <c r="J10" s="4" t="n">
        <v>0.4567222937535322</v>
      </c>
      <c r="K10" s="4" t="n">
        <v>7.209032826400019</v>
      </c>
      <c r="L10" s="4" t="n">
        <v>3.071812186567179</v>
      </c>
      <c r="M10" s="4" t="n">
        <v>1.429032723853052</v>
      </c>
    </row>
    <row r="11">
      <c r="A11" s="4" t="inlineStr">
        <is>
          <t>MCD</t>
        </is>
      </c>
      <c r="B11" s="4" t="inlineStr">
        <is>
          <t>BULLISH</t>
        </is>
      </c>
      <c r="C11" s="4" t="inlineStr">
        <is>
          <t>RS_LEADER</t>
        </is>
      </c>
      <c r="D11" s="4" t="inlineStr"/>
      <c r="E11" s="4" t="n">
        <v>1</v>
      </c>
      <c r="F11" s="4" t="n">
        <v>0</v>
      </c>
      <c r="G11" s="4" t="n">
        <v>321.5</v>
      </c>
      <c r="H11" s="4" t="n">
        <v>70.15370963464638</v>
      </c>
      <c r="I11" s="4" t="n">
        <v>1.442377595992913</v>
      </c>
      <c r="J11" s="4" t="n">
        <v>0.6067718911313857</v>
      </c>
      <c r="K11" s="4" t="n">
        <v>7.325762380640777</v>
      </c>
      <c r="L11" s="4" t="n">
        <v>5.760133703931184</v>
      </c>
      <c r="M11" s="4" t="n">
        <v>1.392133806419754</v>
      </c>
    </row>
    <row r="12">
      <c r="A12" s="4" t="inlineStr">
        <is>
          <t>CAT</t>
        </is>
      </c>
      <c r="B12" s="4" t="inlineStr">
        <is>
          <t>BULLISH</t>
        </is>
      </c>
      <c r="C12" s="4" t="inlineStr">
        <is>
          <t>RS_LEADER</t>
        </is>
      </c>
      <c r="D12" s="4" t="inlineStr"/>
      <c r="E12" s="4" t="n">
        <v>1</v>
      </c>
      <c r="F12" s="4" t="n">
        <v>0</v>
      </c>
      <c r="G12" s="4" t="n">
        <v>696.6085205078125</v>
      </c>
      <c r="H12" s="4" t="n">
        <v>69.95693905622062</v>
      </c>
      <c r="I12" s="4" t="n">
        <v>4.333997891199829</v>
      </c>
      <c r="J12" s="4" t="n">
        <v>0.5627016651918918</v>
      </c>
      <c r="K12" s="4" t="n">
        <v>13.4410455060332</v>
      </c>
      <c r="L12" s="4" t="n">
        <v>48.87123681169189</v>
      </c>
      <c r="M12" s="4" t="n">
        <v>2.989536853896754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ETF</t>
        </is>
      </c>
      <c r="B1" s="9" t="inlineStr">
        <is>
          <t>Sector</t>
        </is>
      </c>
      <c r="C1" s="9" t="inlineStr">
        <is>
          <t>Price</t>
        </is>
      </c>
      <c r="D1" s="9" t="inlineStr">
        <is>
          <t>Change %</t>
        </is>
      </c>
    </row>
    <row r="2">
      <c r="A2" s="4" t="inlineStr">
        <is>
          <t>XLK</t>
        </is>
      </c>
      <c r="B2" s="4" t="inlineStr">
        <is>
          <t>Technology</t>
        </is>
      </c>
      <c r="C2" s="4" t="inlineStr">
        <is>
          <t>$148.05</t>
        </is>
      </c>
      <c r="D2" s="5" t="inlineStr">
        <is>
          <t>+1.35%</t>
        </is>
      </c>
    </row>
    <row r="3">
      <c r="A3" s="4" t="inlineStr">
        <is>
          <t>XLU</t>
        </is>
      </c>
      <c r="B3" s="4" t="inlineStr">
        <is>
          <t>Utilities</t>
        </is>
      </c>
      <c r="C3" s="4" t="inlineStr">
        <is>
          <t>$43.43</t>
        </is>
      </c>
      <c r="D3" s="5" t="inlineStr">
        <is>
          <t>+1.31%</t>
        </is>
      </c>
    </row>
    <row r="4">
      <c r="A4" s="4" t="inlineStr">
        <is>
          <t>XLE</t>
        </is>
      </c>
      <c r="B4" s="4" t="inlineStr">
        <is>
          <t>Energy</t>
        </is>
      </c>
      <c r="C4" s="4" t="inlineStr">
        <is>
          <t>$49.67</t>
        </is>
      </c>
      <c r="D4" s="5" t="inlineStr">
        <is>
          <t>+0.91%</t>
        </is>
      </c>
    </row>
    <row r="5">
      <c r="A5" s="4" t="inlineStr">
        <is>
          <t>QQQ</t>
        </is>
      </c>
      <c r="B5" s="4" t="inlineStr">
        <is>
          <t>Nasdaq 100</t>
        </is>
      </c>
      <c r="C5" s="4" t="inlineStr">
        <is>
          <t>$631.13</t>
        </is>
      </c>
      <c r="D5" s="5" t="inlineStr">
        <is>
          <t>+0.91%</t>
        </is>
      </c>
    </row>
    <row r="6">
      <c r="A6" s="4" t="inlineStr">
        <is>
          <t>IBB</t>
        </is>
      </c>
      <c r="B6" s="4" t="inlineStr">
        <is>
          <t>Biotech (iShares)</t>
        </is>
      </c>
      <c r="C6" s="4" t="inlineStr">
        <is>
          <t>$176.90</t>
        </is>
      </c>
      <c r="D6" s="5" t="inlineStr">
        <is>
          <t>+0.60%</t>
        </is>
      </c>
    </row>
    <row r="7">
      <c r="A7" s="4" t="inlineStr">
        <is>
          <t>XBI</t>
        </is>
      </c>
      <c r="B7" s="4" t="inlineStr">
        <is>
          <t>Biotech</t>
        </is>
      </c>
      <c r="C7" s="4" t="inlineStr">
        <is>
          <t>$128.53</t>
        </is>
      </c>
      <c r="D7" s="5" t="inlineStr">
        <is>
          <t>+0.52%</t>
        </is>
      </c>
    </row>
    <row r="8">
      <c r="A8" s="4" t="inlineStr">
        <is>
          <t>XLP</t>
        </is>
      </c>
      <c r="B8" s="4" t="inlineStr">
        <is>
          <t>Consumer Staples</t>
        </is>
      </c>
      <c r="C8" s="4" t="inlineStr">
        <is>
          <t>$83.16</t>
        </is>
      </c>
      <c r="D8" s="5" t="inlineStr">
        <is>
          <t>+0.46%</t>
        </is>
      </c>
    </row>
    <row r="9">
      <c r="A9" s="4" t="inlineStr">
        <is>
          <t>XLI</t>
        </is>
      </c>
      <c r="B9" s="4" t="inlineStr">
        <is>
          <t>Industrials</t>
        </is>
      </c>
      <c r="C9" s="4" t="inlineStr">
        <is>
          <t>$165.06</t>
        </is>
      </c>
      <c r="D9" s="5" t="inlineStr">
        <is>
          <t>+0.41%</t>
        </is>
      </c>
    </row>
    <row r="10">
      <c r="A10" s="4" t="inlineStr">
        <is>
          <t>SPY</t>
        </is>
      </c>
      <c r="B10" s="4" t="inlineStr">
        <is>
          <t>S&amp;P 500</t>
        </is>
      </c>
      <c r="C10" s="4" t="inlineStr">
        <is>
          <t>$695.49</t>
        </is>
      </c>
      <c r="D10" s="5" t="inlineStr">
        <is>
          <t>+0.40%</t>
        </is>
      </c>
    </row>
    <row r="11">
      <c r="A11" s="4" t="inlineStr">
        <is>
          <t>XLY</t>
        </is>
      </c>
      <c r="B11" s="4" t="inlineStr">
        <is>
          <t>Consumer Discretionary</t>
        </is>
      </c>
      <c r="C11" s="4" t="inlineStr">
        <is>
          <t>$122.69</t>
        </is>
      </c>
      <c r="D11" s="5" t="inlineStr">
        <is>
          <t>+0.30%</t>
        </is>
      </c>
    </row>
    <row r="12">
      <c r="A12" s="4" t="inlineStr">
        <is>
          <t>XLRE</t>
        </is>
      </c>
      <c r="B12" s="4" t="inlineStr">
        <is>
          <t>Real Estate</t>
        </is>
      </c>
      <c r="C12" s="4" t="inlineStr">
        <is>
          <t>$41.25</t>
        </is>
      </c>
      <c r="D12" s="5" t="inlineStr">
        <is>
          <t>+0.07%</t>
        </is>
      </c>
    </row>
    <row r="13">
      <c r="A13" s="4" t="inlineStr">
        <is>
          <t>XLB</t>
        </is>
      </c>
      <c r="B13" s="4" t="inlineStr">
        <is>
          <t>Materials</t>
        </is>
      </c>
      <c r="C13" s="4" t="inlineStr">
        <is>
          <t>$49.98</t>
        </is>
      </c>
      <c r="D13" s="7" t="inlineStr">
        <is>
          <t>-0.10%</t>
        </is>
      </c>
    </row>
    <row r="14">
      <c r="A14" s="4" t="inlineStr">
        <is>
          <t>XLF</t>
        </is>
      </c>
      <c r="B14" s="4" t="inlineStr">
        <is>
          <t>Financials</t>
        </is>
      </c>
      <c r="C14" s="4" t="inlineStr">
        <is>
          <t>$53.00</t>
        </is>
      </c>
      <c r="D14" s="7" t="inlineStr">
        <is>
          <t>-0.77%</t>
        </is>
      </c>
    </row>
    <row r="15">
      <c r="A15" s="4" t="inlineStr">
        <is>
          <t>XLV</t>
        </is>
      </c>
      <c r="B15" s="4" t="inlineStr">
        <is>
          <t>Healthcare</t>
        </is>
      </c>
      <c r="C15" s="4" t="inlineStr">
        <is>
          <t>$155.45</t>
        </is>
      </c>
      <c r="D15" s="7" t="inlineStr">
        <is>
          <t>-1.68%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8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25" customWidth="1" min="11" max="11"/>
  </cols>
  <sheetData>
    <row r="1">
      <c r="A1" s="1" t="inlineStr">
        <is>
          <t>DECISION HELPER - Portfolio: $166,600 | Margin Power: $333,200</t>
        </is>
      </c>
    </row>
    <row r="2">
      <c r="A2" s="2" t="inlineStr">
        <is>
          <t>LONG Rules:</t>
        </is>
      </c>
      <c r="B2" t="inlineStr">
        <is>
          <t>Max (25%): $41,650</t>
        </is>
      </c>
      <c r="D2" t="inlineStr">
        <is>
          <t>Std (10%): $16,660</t>
        </is>
      </c>
      <c r="F2" t="inlineStr">
        <is>
          <t>Min Buy: $5</t>
        </is>
      </c>
    </row>
    <row r="3">
      <c r="A3" s="10" t="inlineStr">
        <is>
          <t>SHORT Rules:</t>
        </is>
      </c>
      <c r="B3" t="inlineStr">
        <is>
          <t>Max (25%): $41,650</t>
        </is>
      </c>
      <c r="D3" t="inlineStr">
        <is>
          <t>Std (10%): $16,660</t>
        </is>
      </c>
      <c r="F3" t="inlineStr">
        <is>
          <t>Min Short: $10</t>
        </is>
      </c>
    </row>
    <row r="5">
      <c r="A5" s="11" t="inlineStr">
        <is>
          <t>📈 LONG CANDIDATES (BUY)</t>
        </is>
      </c>
    </row>
    <row r="6">
      <c r="A6" s="9" t="inlineStr">
        <is>
          <t>Ticker</t>
        </is>
      </c>
      <c r="B6" s="9" t="inlineStr">
        <is>
          <t>Score</t>
        </is>
      </c>
      <c r="C6" s="9" t="inlineStr">
        <is>
          <t>Conviction</t>
        </is>
      </c>
      <c r="D6" s="9" t="inlineStr">
        <is>
          <t>Price</t>
        </is>
      </c>
      <c r="E6" s="9" t="inlineStr">
        <is>
          <t>Shares</t>
        </is>
      </c>
      <c r="F6" s="9" t="inlineStr">
        <is>
          <t>Position $</t>
        </is>
      </c>
      <c r="G6" s="9" t="inlineStr">
        <is>
          <t>Stop Loss</t>
        </is>
      </c>
      <c r="H6" s="9" t="inlineStr">
        <is>
          <t>Risk $</t>
        </is>
      </c>
      <c r="I6" s="9" t="inlineStr">
        <is>
          <t>RSI</t>
        </is>
      </c>
      <c r="J6" s="9" t="inlineStr">
        <is>
          <t>RS vs SPY</t>
        </is>
      </c>
      <c r="K6" s="9" t="inlineStr">
        <is>
          <t>Reasons</t>
        </is>
      </c>
    </row>
    <row r="7">
      <c r="A7" s="4" t="inlineStr">
        <is>
          <t>HD</t>
        </is>
      </c>
      <c r="B7" s="5" t="inlineStr">
        <is>
          <t>5.0</t>
        </is>
      </c>
      <c r="C7" s="12" t="inlineStr">
        <is>
          <t>STRONG</t>
        </is>
      </c>
      <c r="D7" s="4" t="inlineStr">
        <is>
          <t>$381.70</t>
        </is>
      </c>
      <c r="E7" s="4" t="n">
        <v>43</v>
      </c>
      <c r="F7" s="4" t="inlineStr">
        <is>
          <t>$16,660.00</t>
        </is>
      </c>
      <c r="G7" s="4" t="inlineStr">
        <is>
          <t>$365.52</t>
        </is>
      </c>
      <c r="H7" s="4" t="inlineStr">
        <is>
          <t>$695.49</t>
        </is>
      </c>
      <c r="I7" s="4" t="inlineStr">
        <is>
          <t>51.7</t>
        </is>
      </c>
      <c r="J7" s="4" t="inlineStr">
        <is>
          <t>11.0</t>
        </is>
      </c>
      <c r="K7" s="4" t="inlineStr">
        <is>
          <t>Multi-setup, RSI sweet spot, RS leader</t>
        </is>
      </c>
    </row>
    <row r="8">
      <c r="A8" s="4" t="inlineStr">
        <is>
          <t>AMZN</t>
        </is>
      </c>
      <c r="B8" s="4" t="inlineStr">
        <is>
          <t>3.5</t>
        </is>
      </c>
      <c r="C8" s="13" t="inlineStr">
        <is>
          <t>MODERATE</t>
        </is>
      </c>
      <c r="D8" s="4" t="inlineStr">
        <is>
          <t>$236.55</t>
        </is>
      </c>
      <c r="E8" s="4" t="n">
        <v>49</v>
      </c>
      <c r="F8" s="4" t="inlineStr">
        <is>
          <t>$11,662.00</t>
        </is>
      </c>
      <c r="G8" s="4" t="inlineStr">
        <is>
          <t>$224.32</t>
        </is>
      </c>
      <c r="H8" s="4" t="inlineStr">
        <is>
          <t>$599.27</t>
        </is>
      </c>
      <c r="I8" s="4" t="inlineStr">
        <is>
          <t>43.6</t>
        </is>
      </c>
      <c r="J8" s="4" t="inlineStr">
        <is>
          <t>1.6</t>
        </is>
      </c>
      <c r="K8" s="4" t="inlineStr">
        <is>
          <t>RSI sweet spot, Healthy trend</t>
        </is>
      </c>
    </row>
    <row r="9">
      <c r="A9" s="4" t="inlineStr">
        <is>
          <t>NVDA</t>
        </is>
      </c>
      <c r="B9" s="4" t="inlineStr">
        <is>
          <t>3.0</t>
        </is>
      </c>
      <c r="C9" s="13" t="inlineStr">
        <is>
          <t>MODERATE</t>
        </is>
      </c>
      <c r="D9" s="4" t="inlineStr">
        <is>
          <t>$179.00</t>
        </is>
      </c>
      <c r="E9" s="4" t="n">
        <v>65</v>
      </c>
      <c r="F9" s="4" t="inlineStr">
        <is>
          <t>$11,662.00</t>
        </is>
      </c>
      <c r="G9" s="4" t="inlineStr">
        <is>
          <t>$168.00</t>
        </is>
      </c>
      <c r="H9" s="4" t="inlineStr">
        <is>
          <t>$715.09</t>
        </is>
      </c>
      <c r="I9" s="4" t="inlineStr">
        <is>
          <t>42.6</t>
        </is>
      </c>
      <c r="J9" s="4" t="inlineStr">
        <is>
          <t>-4.7</t>
        </is>
      </c>
      <c r="K9" s="4" t="inlineStr">
        <is>
          <t>RSI sweet spot, Healthy trend</t>
        </is>
      </c>
    </row>
    <row r="10">
      <c r="A10" s="4" t="inlineStr">
        <is>
          <t>META</t>
        </is>
      </c>
      <c r="B10" s="4" t="inlineStr">
        <is>
          <t>3.0</t>
        </is>
      </c>
      <c r="C10" s="13" t="inlineStr">
        <is>
          <t>MODERATE</t>
        </is>
      </c>
      <c r="D10" s="4" t="inlineStr">
        <is>
          <t>$691.40</t>
        </is>
      </c>
      <c r="E10" s="4" t="n">
        <v>16</v>
      </c>
      <c r="F10" s="4" t="inlineStr">
        <is>
          <t>$11,662.00</t>
        </is>
      </c>
      <c r="G10" s="4" t="inlineStr">
        <is>
          <t>$644.53</t>
        </is>
      </c>
      <c r="H10" s="4" t="inlineStr">
        <is>
          <t>$749.92</t>
        </is>
      </c>
      <c r="I10" s="4" t="inlineStr">
        <is>
          <t>63.3</t>
        </is>
      </c>
      <c r="J10" s="4" t="inlineStr">
        <is>
          <t>5.1</t>
        </is>
      </c>
      <c r="K10" s="4" t="inlineStr">
        <is>
          <t>RS leader, Healthy trend</t>
        </is>
      </c>
    </row>
    <row r="11">
      <c r="A11" s="4" t="inlineStr">
        <is>
          <t>COST</t>
        </is>
      </c>
      <c r="B11" s="4" t="inlineStr">
        <is>
          <t>3.0</t>
        </is>
      </c>
      <c r="C11" s="13" t="inlineStr">
        <is>
          <t>MODERATE</t>
        </is>
      </c>
      <c r="D11" s="4" t="inlineStr">
        <is>
          <t>$986.00</t>
        </is>
      </c>
      <c r="E11" s="4" t="n">
        <v>11</v>
      </c>
      <c r="F11" s="4" t="inlineStr">
        <is>
          <t>$11,662.00</t>
        </is>
      </c>
      <c r="G11" s="4" t="inlineStr">
        <is>
          <t>$949.14</t>
        </is>
      </c>
      <c r="H11" s="4" t="inlineStr">
        <is>
          <t>$405.48</t>
        </is>
      </c>
      <c r="I11" s="4" t="inlineStr">
        <is>
          <t>66.0</t>
        </is>
      </c>
      <c r="J11" s="4" t="inlineStr">
        <is>
          <t>12.9</t>
        </is>
      </c>
      <c r="K11" s="4" t="inlineStr">
        <is>
          <t>RS leader, Healthy trend</t>
        </is>
      </c>
    </row>
    <row r="12">
      <c r="A12" s="4" t="inlineStr">
        <is>
          <t>GOOGL</t>
        </is>
      </c>
      <c r="B12" s="4" t="inlineStr">
        <is>
          <t>2.0</t>
        </is>
      </c>
      <c r="C12" s="13" t="inlineStr">
        <is>
          <t>MODERATE</t>
        </is>
      </c>
      <c r="D12" s="4" t="inlineStr">
        <is>
          <t>$340.35</t>
        </is>
      </c>
      <c r="E12" s="4" t="n">
        <v>34</v>
      </c>
      <c r="F12" s="4" t="inlineStr">
        <is>
          <t>$11,662.00</t>
        </is>
      </c>
      <c r="G12" s="4" t="inlineStr">
        <is>
          <t>$323.61</t>
        </is>
      </c>
      <c r="H12" s="4" t="inlineStr">
        <is>
          <t>$569.31</t>
        </is>
      </c>
      <c r="I12" s="4" t="inlineStr">
        <is>
          <t>54.9</t>
        </is>
      </c>
      <c r="J12" s="4" t="inlineStr">
        <is>
          <t>7.6</t>
        </is>
      </c>
      <c r="K12" s="4" t="inlineStr">
        <is>
          <t>RSI sweet spot, RS leader, Extended</t>
        </is>
      </c>
    </row>
    <row r="13">
      <c r="A13" s="4" t="inlineStr">
        <is>
          <t>LIN</t>
        </is>
      </c>
      <c r="B13" s="4" t="inlineStr">
        <is>
          <t>2.0</t>
        </is>
      </c>
      <c r="C13" s="13" t="inlineStr">
        <is>
          <t>MODERATE</t>
        </is>
      </c>
      <c r="D13" s="4" t="inlineStr">
        <is>
          <t>$463.85</t>
        </is>
      </c>
      <c r="E13" s="4" t="n">
        <v>25</v>
      </c>
      <c r="F13" s="4" t="inlineStr">
        <is>
          <t>$11,662.00</t>
        </is>
      </c>
      <c r="G13" s="4" t="inlineStr">
        <is>
          <t>$450.59</t>
        </is>
      </c>
      <c r="H13" s="4" t="inlineStr">
        <is>
          <t>$331.43</t>
        </is>
      </c>
      <c r="I13" s="4" t="inlineStr">
        <is>
          <t>72.0</t>
        </is>
      </c>
      <c r="J13" s="4" t="inlineStr">
        <is>
          <t>7.2</t>
        </is>
      </c>
      <c r="K13" s="4" t="inlineStr">
        <is>
          <t>Overbought, RS leader, Healthy trend</t>
        </is>
      </c>
    </row>
    <row r="14">
      <c r="A14" s="4" t="inlineStr">
        <is>
          <t>MCD</t>
        </is>
      </c>
      <c r="B14" s="4" t="inlineStr">
        <is>
          <t>2.0</t>
        </is>
      </c>
      <c r="C14" s="13" t="inlineStr">
        <is>
          <t>MODERATE</t>
        </is>
      </c>
      <c r="D14" s="4" t="inlineStr">
        <is>
          <t>$321.50</t>
        </is>
      </c>
      <c r="E14" s="4" t="n">
        <v>36</v>
      </c>
      <c r="F14" s="4" t="inlineStr">
        <is>
          <t>$11,662.00</t>
        </is>
      </c>
      <c r="G14" s="4" t="inlineStr">
        <is>
          <t>$312.55</t>
        </is>
      </c>
      <c r="H14" s="4" t="inlineStr">
        <is>
          <t>$322.25</t>
        </is>
      </c>
      <c r="I14" s="4" t="inlineStr">
        <is>
          <t>70.2</t>
        </is>
      </c>
      <c r="J14" s="4" t="inlineStr">
        <is>
          <t>7.3</t>
        </is>
      </c>
      <c r="K14" s="4" t="inlineStr">
        <is>
          <t>Overbought, RS leader, Healthy trend</t>
        </is>
      </c>
    </row>
    <row r="15">
      <c r="A15" s="4" t="inlineStr">
        <is>
          <t>MRK</t>
        </is>
      </c>
      <c r="B15" s="7" t="inlineStr">
        <is>
          <t>1.0</t>
        </is>
      </c>
      <c r="C15" s="4" t="inlineStr">
        <is>
          <t>WEAK</t>
        </is>
      </c>
      <c r="D15" s="4" t="inlineStr">
        <is>
          <t>$116.19</t>
        </is>
      </c>
      <c r="E15" s="4" t="n">
        <v>71</v>
      </c>
      <c r="F15" s="4" t="inlineStr">
        <is>
          <t>$8,330.00</t>
        </is>
      </c>
      <c r="G15" s="4" t="inlineStr">
        <is>
          <t>$110.35</t>
        </is>
      </c>
      <c r="H15" s="4" t="inlineStr">
        <is>
          <t>$415.25</t>
        </is>
      </c>
      <c r="I15" s="4" t="inlineStr">
        <is>
          <t>68.2</t>
        </is>
      </c>
      <c r="J15" s="4" t="inlineStr">
        <is>
          <t>8.3</t>
        </is>
      </c>
      <c r="K15" s="4" t="inlineStr">
        <is>
          <t>RS leader, Extended</t>
        </is>
      </c>
    </row>
    <row r="16">
      <c r="A16" s="4" t="inlineStr">
        <is>
          <t>AMD</t>
        </is>
      </c>
      <c r="B16" s="7" t="inlineStr">
        <is>
          <t>1.0</t>
        </is>
      </c>
      <c r="C16" s="4" t="inlineStr">
        <is>
          <t>WEAK</t>
        </is>
      </c>
      <c r="D16" s="4" t="inlineStr">
        <is>
          <t>$240.10</t>
        </is>
      </c>
      <c r="E16" s="4" t="n">
        <v>34</v>
      </c>
      <c r="F16" s="4" t="inlineStr">
        <is>
          <t>$8,330.00</t>
        </is>
      </c>
      <c r="G16" s="4" t="inlineStr">
        <is>
          <t>$214.79</t>
        </is>
      </c>
      <c r="H16" s="4" t="inlineStr">
        <is>
          <t>$860.59</t>
        </is>
      </c>
      <c r="I16" s="4" t="inlineStr">
        <is>
          <t>61.9</t>
        </is>
      </c>
      <c r="J16" s="4" t="inlineStr">
        <is>
          <t>8.7</t>
        </is>
      </c>
      <c r="K16" s="4" t="inlineStr">
        <is>
          <t>RS leader, Extended</t>
        </is>
      </c>
    </row>
    <row r="17">
      <c r="A17" s="4" t="inlineStr">
        <is>
          <t>CAT</t>
        </is>
      </c>
      <c r="B17" s="7" t="inlineStr">
        <is>
          <t>1.0</t>
        </is>
      </c>
      <c r="C17" s="4" t="inlineStr">
        <is>
          <t>WEAK</t>
        </is>
      </c>
      <c r="D17" s="4" t="inlineStr">
        <is>
          <t>$696.61</t>
        </is>
      </c>
      <c r="E17" s="4" t="n">
        <v>11</v>
      </c>
      <c r="F17" s="4" t="inlineStr">
        <is>
          <t>$8,330.00</t>
        </is>
      </c>
      <c r="G17" s="4" t="inlineStr">
        <is>
          <t>$654.96</t>
        </is>
      </c>
      <c r="H17" s="4" t="inlineStr">
        <is>
          <t>$458.16</t>
        </is>
      </c>
      <c r="I17" s="4" t="inlineStr">
        <is>
          <t>70.0</t>
        </is>
      </c>
      <c r="J17" s="4" t="inlineStr">
        <is>
          <t>13.4</t>
        </is>
      </c>
      <c r="K17" s="4" t="inlineStr">
        <is>
          <t>RS leader, Extended</t>
        </is>
      </c>
    </row>
    <row r="20">
      <c r="A20" s="14" t="inlineStr">
        <is>
          <t>📉 SHORT CANDIDATES (SELL SHORT)</t>
        </is>
      </c>
    </row>
    <row r="21">
      <c r="A21" s="15" t="inlineStr">
        <is>
          <t>Ticker</t>
        </is>
      </c>
      <c r="B21" s="15" t="inlineStr">
        <is>
          <t>Score</t>
        </is>
      </c>
      <c r="C21" s="15" t="inlineStr">
        <is>
          <t>Conviction</t>
        </is>
      </c>
      <c r="D21" s="15" t="inlineStr">
        <is>
          <t>Price</t>
        </is>
      </c>
      <c r="E21" s="15" t="inlineStr">
        <is>
          <t>Shares</t>
        </is>
      </c>
      <c r="F21" s="15" t="inlineStr">
        <is>
          <t>Position $</t>
        </is>
      </c>
      <c r="G21" s="15" t="inlineStr">
        <is>
          <t>Stop (Cover)</t>
        </is>
      </c>
      <c r="H21" s="15" t="inlineStr">
        <is>
          <t>Risk $</t>
        </is>
      </c>
      <c r="I21" s="15" t="inlineStr">
        <is>
          <t>RSI</t>
        </is>
      </c>
      <c r="J21" s="15" t="inlineStr">
        <is>
          <t>RS vs SPY</t>
        </is>
      </c>
      <c r="K21" s="15" t="inlineStr">
        <is>
          <t>Reasons</t>
        </is>
      </c>
    </row>
    <row r="22">
      <c r="A22" s="4" t="inlineStr">
        <is>
          <t>UNH</t>
        </is>
      </c>
      <c r="B22" s="4" t="inlineStr">
        <is>
          <t>4.0</t>
        </is>
      </c>
      <c r="C22" s="15" t="inlineStr">
        <is>
          <t>STRONG</t>
        </is>
      </c>
      <c r="D22" s="4" t="inlineStr">
        <is>
          <t>$281.28</t>
        </is>
      </c>
      <c r="E22" s="4" t="n">
        <v>59</v>
      </c>
      <c r="F22" s="4" t="inlineStr">
        <is>
          <t>$16,660.00</t>
        </is>
      </c>
      <c r="G22" s="4" t="inlineStr">
        <is>
          <t>$307.97</t>
        </is>
      </c>
      <c r="H22" s="4" t="inlineStr">
        <is>
          <t>$1,574.63</t>
        </is>
      </c>
      <c r="I22" s="4" t="inlineStr">
        <is>
          <t>30.6</t>
        </is>
      </c>
      <c r="J22" s="4" t="inlineStr">
        <is>
          <t>-17.7</t>
        </is>
      </c>
      <c r="K22" s="4" t="inlineStr">
        <is>
          <t>Multi-bearish, RS weak, Below 200 SMA</t>
        </is>
      </c>
    </row>
    <row r="23">
      <c r="A23" s="4" t="inlineStr">
        <is>
          <t>DIS</t>
        </is>
      </c>
      <c r="B23" s="4" t="inlineStr">
        <is>
          <t>4.0</t>
        </is>
      </c>
      <c r="C23" s="15" t="inlineStr">
        <is>
          <t>STRONG</t>
        </is>
      </c>
      <c r="D23" s="4" t="inlineStr">
        <is>
          <t>$103.68</t>
        </is>
      </c>
      <c r="E23" s="4" t="n">
        <v>160</v>
      </c>
      <c r="F23" s="4" t="inlineStr">
        <is>
          <t>$16,660.00</t>
        </is>
      </c>
      <c r="G23" s="4" t="inlineStr">
        <is>
          <t>$109.15</t>
        </is>
      </c>
      <c r="H23" s="4" t="inlineStr">
        <is>
          <t>$875.20</t>
        </is>
      </c>
      <c r="I23" s="4" t="inlineStr">
        <is>
          <t>30.0</t>
        </is>
      </c>
      <c r="J23" s="4" t="inlineStr">
        <is>
          <t>-9.0</t>
        </is>
      </c>
      <c r="K23" s="4" t="inlineStr">
        <is>
          <t>Vol confirm, RS weak, Below 200 SMA</t>
        </is>
      </c>
    </row>
    <row r="24">
      <c r="A24" s="4" t="inlineStr">
        <is>
          <t>ACN</t>
        </is>
      </c>
      <c r="B24" s="4" t="inlineStr">
        <is>
          <t>4.0</t>
        </is>
      </c>
      <c r="C24" s="15" t="inlineStr">
        <is>
          <t>STRONG</t>
        </is>
      </c>
      <c r="D24" s="4" t="inlineStr">
        <is>
          <t>$239.50</t>
        </is>
      </c>
      <c r="E24" s="4" t="n">
        <v>69</v>
      </c>
      <c r="F24" s="4" t="inlineStr">
        <is>
          <t>$16,660.00</t>
        </is>
      </c>
      <c r="G24" s="4" t="inlineStr">
        <is>
          <t>$260.97</t>
        </is>
      </c>
      <c r="H24" s="4" t="inlineStr">
        <is>
          <t>$1,481.33</t>
        </is>
      </c>
      <c r="I24" s="4" t="inlineStr">
        <is>
          <t>30.7</t>
        </is>
      </c>
      <c r="J24" s="4" t="inlineStr">
        <is>
          <t>-9.2</t>
        </is>
      </c>
      <c r="K24" s="4" t="inlineStr">
        <is>
          <t>Vol confirm, RS weak, Below 200 SMA</t>
        </is>
      </c>
    </row>
    <row r="25">
      <c r="A25" s="4" t="inlineStr">
        <is>
          <t>BKNG</t>
        </is>
      </c>
      <c r="B25" s="4" t="inlineStr">
        <is>
          <t>3.0</t>
        </is>
      </c>
      <c r="C25" s="4" t="inlineStr">
        <is>
          <t>MODERATE</t>
        </is>
      </c>
      <c r="D25" s="4" t="inlineStr">
        <is>
          <t>$4,658.39</t>
        </is>
      </c>
      <c r="E25" s="4" t="n">
        <v>2</v>
      </c>
      <c r="F25" s="4" t="inlineStr">
        <is>
          <t>$11,662.00</t>
        </is>
      </c>
      <c r="G25" s="4" t="inlineStr">
        <is>
          <t>$4,973.29</t>
        </is>
      </c>
      <c r="H25" s="4" t="inlineStr">
        <is>
          <t>$629.79</t>
        </is>
      </c>
      <c r="I25" s="4" t="inlineStr">
        <is>
          <t>25.7</t>
        </is>
      </c>
      <c r="J25" s="4" t="inlineStr">
        <is>
          <t>-13.1</t>
        </is>
      </c>
      <c r="K25" s="4" t="inlineStr">
        <is>
          <t>Oversold-risky, Vol confirm, RS weak</t>
        </is>
      </c>
    </row>
    <row r="26">
      <c r="A26" s="4" t="inlineStr">
        <is>
          <t>INTU</t>
        </is>
      </c>
      <c r="B26" s="4" t="inlineStr">
        <is>
          <t>3.0</t>
        </is>
      </c>
      <c r="C26" s="4" t="inlineStr">
        <is>
          <t>MODERATE</t>
        </is>
      </c>
      <c r="D26" s="4" t="inlineStr">
        <is>
          <t>$429.74</t>
        </is>
      </c>
      <c r="E26" s="4" t="n">
        <v>27</v>
      </c>
      <c r="F26" s="4" t="inlineStr">
        <is>
          <t>$11,662.00</t>
        </is>
      </c>
      <c r="G26" s="4" t="inlineStr">
        <is>
          <t>$479.04</t>
        </is>
      </c>
      <c r="H26" s="4" t="inlineStr">
        <is>
          <t>$1,331.10</t>
        </is>
      </c>
      <c r="I26" s="4" t="inlineStr">
        <is>
          <t>15.4</t>
        </is>
      </c>
      <c r="J26" s="4" t="inlineStr">
        <is>
          <t>-32.0</t>
        </is>
      </c>
      <c r="K26" s="4" t="inlineStr">
        <is>
          <t>Oversold-risky, Vol confirm, RS weak</t>
        </is>
      </c>
    </row>
    <row r="27">
      <c r="A27" s="4" t="inlineStr">
        <is>
          <t>CRM</t>
        </is>
      </c>
      <c r="B27" s="4" t="inlineStr">
        <is>
          <t>3.0</t>
        </is>
      </c>
      <c r="C27" s="4" t="inlineStr">
        <is>
          <t>MODERATE</t>
        </is>
      </c>
      <c r="D27" s="4" t="inlineStr">
        <is>
          <t>$193.63</t>
        </is>
      </c>
      <c r="E27" s="4" t="n">
        <v>60</v>
      </c>
      <c r="F27" s="4" t="inlineStr">
        <is>
          <t>$11,662.00</t>
        </is>
      </c>
      <c r="G27" s="4" t="inlineStr">
        <is>
          <t>$209.47</t>
        </is>
      </c>
      <c r="H27" s="4" t="inlineStr">
        <is>
          <t>$950.23</t>
        </is>
      </c>
      <c r="I27" s="4" t="inlineStr">
        <is>
          <t>14.2</t>
        </is>
      </c>
      <c r="J27" s="4" t="inlineStr">
        <is>
          <t>-24.3</t>
        </is>
      </c>
      <c r="K27" s="4" t="inlineStr">
        <is>
          <t>Oversold-risky, Vol confirm, RS weak</t>
        </is>
      </c>
    </row>
    <row r="28">
      <c r="A28" s="4" t="inlineStr">
        <is>
          <t>QCOM</t>
        </is>
      </c>
      <c r="B28" s="4" t="inlineStr">
        <is>
          <t>2.0</t>
        </is>
      </c>
      <c r="C28" s="4" t="inlineStr">
        <is>
          <t>MODERATE</t>
        </is>
      </c>
      <c r="D28" s="4" t="inlineStr">
        <is>
          <t>$145.28</t>
        </is>
      </c>
      <c r="E28" s="4" t="n">
        <v>80</v>
      </c>
      <c r="F28" s="4" t="inlineStr">
        <is>
          <t>$11,662.00</t>
        </is>
      </c>
      <c r="G28" s="4" t="inlineStr">
        <is>
          <t>$152.91</t>
        </is>
      </c>
      <c r="H28" s="4" t="inlineStr">
        <is>
          <t>$610.17</t>
        </is>
      </c>
      <c r="I28" s="4" t="inlineStr">
        <is>
          <t>16.1</t>
        </is>
      </c>
      <c r="J28" s="4" t="inlineStr">
        <is>
          <t>-17.5</t>
        </is>
      </c>
      <c r="K28" s="4" t="inlineStr">
        <is>
          <t>Oversold-risky, RS weak, Below 200 SMA</t>
        </is>
      </c>
    </row>
    <row r="29">
      <c r="A29" s="4" t="inlineStr">
        <is>
          <t>ISRG</t>
        </is>
      </c>
      <c r="B29" s="4" t="inlineStr">
        <is>
          <t>2.0</t>
        </is>
      </c>
      <c r="C29" s="4" t="inlineStr">
        <is>
          <t>MODERATE</t>
        </is>
      </c>
      <c r="D29" s="4" t="inlineStr">
        <is>
          <t>$479.77</t>
        </is>
      </c>
      <c r="E29" s="4" t="n">
        <v>24</v>
      </c>
      <c r="F29" s="4" t="inlineStr">
        <is>
          <t>$11,662.00</t>
        </is>
      </c>
      <c r="G29" s="4" t="inlineStr">
        <is>
          <t>$508.93</t>
        </is>
      </c>
      <c r="H29" s="4" t="inlineStr">
        <is>
          <t>$699.77</t>
        </is>
      </c>
      <c r="I29" s="4" t="inlineStr">
        <is>
          <t>7.2</t>
        </is>
      </c>
      <c r="J29" s="4" t="inlineStr">
        <is>
          <t>-15.2</t>
        </is>
      </c>
      <c r="K29" s="4" t="inlineStr">
        <is>
          <t>Oversold-risky, RS weak, Below 200 SMA</t>
        </is>
      </c>
    </row>
    <row r="30">
      <c r="A30" s="4" t="inlineStr">
        <is>
          <t>NOW</t>
        </is>
      </c>
      <c r="B30" s="4" t="inlineStr">
        <is>
          <t>2.0</t>
        </is>
      </c>
      <c r="C30" s="4" t="inlineStr">
        <is>
          <t>MODERATE</t>
        </is>
      </c>
      <c r="D30" s="4" t="inlineStr">
        <is>
          <t>$109.03</t>
        </is>
      </c>
      <c r="E30" s="4" t="n">
        <v>106</v>
      </c>
      <c r="F30" s="4" t="inlineStr">
        <is>
          <t>$11,662.00</t>
        </is>
      </c>
      <c r="G30" s="4" t="inlineStr">
        <is>
          <t>$120.71</t>
        </is>
      </c>
      <c r="H30" s="4" t="inlineStr">
        <is>
          <t>$1,238.69</t>
        </is>
      </c>
      <c r="I30" s="4" t="inlineStr">
        <is>
          <t>22.9</t>
        </is>
      </c>
      <c r="J30" s="4" t="inlineStr">
        <is>
          <t>-26.0</t>
        </is>
      </c>
      <c r="K30" s="4" t="inlineStr">
        <is>
          <t>Oversold-risky, RS weak, Below 200 SMA</t>
        </is>
      </c>
    </row>
    <row r="31">
      <c r="A31" s="4" t="inlineStr">
        <is>
          <t>ABT</t>
        </is>
      </c>
      <c r="B31" s="4" t="inlineStr">
        <is>
          <t>2.0</t>
        </is>
      </c>
      <c r="C31" s="4" t="inlineStr">
        <is>
          <t>MODERATE</t>
        </is>
      </c>
      <c r="D31" s="4" t="inlineStr">
        <is>
          <t>$108.77</t>
        </is>
      </c>
      <c r="E31" s="4" t="n">
        <v>107</v>
      </c>
      <c r="F31" s="4" t="inlineStr">
        <is>
          <t>$11,662.00</t>
        </is>
      </c>
      <c r="G31" s="4" t="inlineStr">
        <is>
          <t>$115.59</t>
        </is>
      </c>
      <c r="H31" s="4" t="inlineStr">
        <is>
          <t>$729.43</t>
        </is>
      </c>
      <c r="I31" s="4" t="inlineStr">
        <is>
          <t>21.0</t>
        </is>
      </c>
      <c r="J31" s="4" t="inlineStr">
        <is>
          <t>-13.4</t>
        </is>
      </c>
      <c r="K31" s="4" t="inlineStr">
        <is>
          <t>Oversold-risky, RS weak, Below 200 SMA</t>
        </is>
      </c>
    </row>
    <row r="32">
      <c r="A32" s="4" t="inlineStr">
        <is>
          <t>ADBE</t>
        </is>
      </c>
      <c r="B32" s="4" t="inlineStr">
        <is>
          <t>2.0</t>
        </is>
      </c>
      <c r="C32" s="4" t="inlineStr">
        <is>
          <t>MODERATE</t>
        </is>
      </c>
      <c r="D32" s="4" t="inlineStr">
        <is>
          <t>$271.95</t>
        </is>
      </c>
      <c r="E32" s="4" t="n">
        <v>42</v>
      </c>
      <c r="F32" s="4" t="inlineStr">
        <is>
          <t>$11,662.00</t>
        </is>
      </c>
      <c r="G32" s="4" t="inlineStr">
        <is>
          <t>$289.26</t>
        </is>
      </c>
      <c r="H32" s="4" t="inlineStr">
        <is>
          <t>$726.66</t>
        </is>
      </c>
      <c r="I32" s="4" t="inlineStr">
        <is>
          <t>24.5</t>
        </is>
      </c>
      <c r="J32" s="4" t="inlineStr">
        <is>
          <t>-17.9</t>
        </is>
      </c>
      <c r="K32" s="4" t="inlineStr">
        <is>
          <t>Oversold-risky, RS weak, Below 200 SMA</t>
        </is>
      </c>
    </row>
    <row r="33">
      <c r="A33" s="4" t="inlineStr">
        <is>
          <t>ORCL</t>
        </is>
      </c>
      <c r="B33" s="4" t="inlineStr">
        <is>
          <t>2.0</t>
        </is>
      </c>
      <c r="C33" s="4" t="inlineStr">
        <is>
          <t>MODERATE</t>
        </is>
      </c>
      <c r="D33" s="4" t="inlineStr">
        <is>
          <t>$153.02</t>
        </is>
      </c>
      <c r="E33" s="4" t="n">
        <v>76</v>
      </c>
      <c r="F33" s="4" t="inlineStr">
        <is>
          <t>$11,662.00</t>
        </is>
      </c>
      <c r="G33" s="4" t="inlineStr">
        <is>
          <t>$170.18</t>
        </is>
      </c>
      <c r="H33" s="4" t="inlineStr">
        <is>
          <t>$1,304.38</t>
        </is>
      </c>
      <c r="I33" s="4" t="inlineStr">
        <is>
          <t>15.3</t>
        </is>
      </c>
      <c r="J33" s="4" t="inlineStr">
        <is>
          <t>-20.2</t>
        </is>
      </c>
      <c r="K33" s="4" t="inlineStr">
        <is>
          <t>Oversold-risky, RS weak, Below 200 SMA</t>
        </is>
      </c>
    </row>
    <row r="34">
      <c r="A34" s="4" t="inlineStr">
        <is>
          <t>TMO</t>
        </is>
      </c>
      <c r="B34" s="4" t="inlineStr">
        <is>
          <t>2.0</t>
        </is>
      </c>
      <c r="C34" s="4" t="inlineStr">
        <is>
          <t>MODERATE</t>
        </is>
      </c>
      <c r="D34" s="4" t="inlineStr">
        <is>
          <t>$572.96</t>
        </is>
      </c>
      <c r="E34" s="4" t="n">
        <v>20</v>
      </c>
      <c r="F34" s="4" t="inlineStr">
        <is>
          <t>$11,662.00</t>
        </is>
      </c>
      <c r="G34" s="4" t="inlineStr">
        <is>
          <t>$604.06</t>
        </is>
      </c>
      <c r="H34" s="4" t="inlineStr">
        <is>
          <t>$622.07</t>
        </is>
      </c>
      <c r="I34" s="4" t="inlineStr">
        <is>
          <t>35.6</t>
        </is>
      </c>
      <c r="J34" s="4" t="inlineStr">
        <is>
          <t>-6.1</t>
        </is>
      </c>
      <c r="K34" s="4" t="inlineStr">
        <is>
          <t>RS weak</t>
        </is>
      </c>
    </row>
    <row r="35">
      <c r="A35" s="4" t="inlineStr">
        <is>
          <t>NFLX</t>
        </is>
      </c>
      <c r="B35" s="4" t="inlineStr">
        <is>
          <t>2.0</t>
        </is>
      </c>
      <c r="C35" s="4" t="inlineStr">
        <is>
          <t>MODERATE</t>
        </is>
      </c>
      <c r="D35" s="4" t="inlineStr">
        <is>
          <t>$80.35</t>
        </is>
      </c>
      <c r="E35" s="4" t="n">
        <v>145</v>
      </c>
      <c r="F35" s="4" t="inlineStr">
        <is>
          <t>$11,662.00</t>
        </is>
      </c>
      <c r="G35" s="4" t="inlineStr">
        <is>
          <t>$85.25</t>
        </is>
      </c>
      <c r="H35" s="4" t="inlineStr">
        <is>
          <t>$710.50</t>
        </is>
      </c>
      <c r="I35" s="4" t="inlineStr">
        <is>
          <t>18.4</t>
        </is>
      </c>
      <c r="J35" s="4" t="inlineStr">
        <is>
          <t>-12.0</t>
        </is>
      </c>
      <c r="K35" s="4" t="inlineStr">
        <is>
          <t>Oversold-risky, RS weak, Below 200 SMA</t>
        </is>
      </c>
    </row>
    <row r="36">
      <c r="A36" s="4" t="inlineStr">
        <is>
          <t>TSLA</t>
        </is>
      </c>
      <c r="B36" s="4" t="inlineStr">
        <is>
          <t>2.0</t>
        </is>
      </c>
      <c r="C36" s="4" t="inlineStr">
        <is>
          <t>MODERATE</t>
        </is>
      </c>
      <c r="D36" s="4" t="inlineStr">
        <is>
          <t>$417.44</t>
        </is>
      </c>
      <c r="E36" s="4" t="n">
        <v>27</v>
      </c>
      <c r="F36" s="4" t="inlineStr">
        <is>
          <t>$11,662.00</t>
        </is>
      </c>
      <c r="G36" s="4" t="inlineStr">
        <is>
          <t>$446.64</t>
        </is>
      </c>
      <c r="H36" s="4" t="inlineStr">
        <is>
          <t>$788.52</t>
        </is>
      </c>
      <c r="I36" s="4" t="inlineStr">
        <is>
          <t>37.5</t>
        </is>
      </c>
      <c r="J36" s="4" t="inlineStr">
        <is>
          <t>-7.5</t>
        </is>
      </c>
      <c r="K36" s="4" t="inlineStr">
        <is>
          <t>RS weak</t>
        </is>
      </c>
    </row>
    <row r="37">
      <c r="A37" s="4" t="inlineStr">
        <is>
          <t>MSFT</t>
        </is>
      </c>
      <c r="B37" s="4" t="inlineStr">
        <is>
          <t>2.0</t>
        </is>
      </c>
      <c r="C37" s="4" t="inlineStr">
        <is>
          <t>MODERATE</t>
        </is>
      </c>
      <c r="D37" s="4" t="inlineStr">
        <is>
          <t>$412.05</t>
        </is>
      </c>
      <c r="E37" s="4" t="n">
        <v>28</v>
      </c>
      <c r="F37" s="4" t="inlineStr">
        <is>
          <t>$11,662.00</t>
        </is>
      </c>
      <c r="G37" s="4" t="inlineStr">
        <is>
          <t>$442.21</t>
        </is>
      </c>
      <c r="H37" s="4" t="inlineStr">
        <is>
          <t>$844.44</t>
        </is>
      </c>
      <c r="I37" s="4" t="inlineStr">
        <is>
          <t>29.1</t>
        </is>
      </c>
      <c r="J37" s="4" t="inlineStr">
        <is>
          <t>-12.7</t>
        </is>
      </c>
      <c r="K37" s="4" t="inlineStr">
        <is>
          <t>Oversold-risky, RS weak, Below 200 SMA</t>
        </is>
      </c>
    </row>
    <row r="38">
      <c r="A38" s="4" t="inlineStr">
        <is>
          <t>BRK-B</t>
        </is>
      </c>
      <c r="B38" s="4" t="inlineStr">
        <is>
          <t>1.5</t>
        </is>
      </c>
      <c r="C38" s="4" t="inlineStr">
        <is>
          <t>WEAK</t>
        </is>
      </c>
      <c r="D38" s="4" t="inlineStr">
        <is>
          <t>$494.84</t>
        </is>
      </c>
      <c r="E38" s="4" t="n">
        <v>16</v>
      </c>
      <c r="F38" s="4" t="inlineStr">
        <is>
          <t>$8,330.00</t>
        </is>
      </c>
      <c r="G38" s="4" t="inlineStr">
        <is>
          <t>$508.46</t>
        </is>
      </c>
      <c r="H38" s="4" t="inlineStr">
        <is>
          <t>$217.99</t>
        </is>
      </c>
      <c r="I38" s="4" t="inlineStr">
        <is>
          <t>49.6</t>
        </is>
      </c>
      <c r="J38" s="4" t="inlineStr">
        <is>
          <t>-0.6</t>
        </is>
      </c>
      <c r="K38" s="4" t="inlineStr"/>
    </row>
    <row r="39">
      <c r="A39" s="4" t="inlineStr">
        <is>
          <t>VZ</t>
        </is>
      </c>
      <c r="B39" s="4" t="inlineStr">
        <is>
          <t>1.0</t>
        </is>
      </c>
      <c r="C39" s="4" t="inlineStr">
        <is>
          <t>WEAK</t>
        </is>
      </c>
      <c r="D39" s="4" t="inlineStr">
        <is>
          <t>$46.42</t>
        </is>
      </c>
      <c r="E39" s="4" t="n">
        <v>179</v>
      </c>
      <c r="F39" s="4" t="inlineStr">
        <is>
          <t>$8,330.00</t>
        </is>
      </c>
      <c r="G39" s="4" t="inlineStr">
        <is>
          <t>$48.46</t>
        </is>
      </c>
      <c r="H39" s="4" t="inlineStr">
        <is>
          <t>$366.05</t>
        </is>
      </c>
      <c r="I39" s="4" t="inlineStr">
        <is>
          <t>87.6</t>
        </is>
      </c>
      <c r="J39" s="4" t="inlineStr">
        <is>
          <t>17.5</t>
        </is>
      </c>
      <c r="K39" s="4" t="inlineStr">
        <is>
          <t>Has bullish, Overbought</t>
        </is>
      </c>
    </row>
    <row r="40">
      <c r="A40" s="4" t="inlineStr">
        <is>
          <t>AVGO</t>
        </is>
      </c>
      <c r="B40" s="4" t="inlineStr">
        <is>
          <t>1.0</t>
        </is>
      </c>
      <c r="C40" s="4" t="inlineStr">
        <is>
          <t>WEAK</t>
        </is>
      </c>
      <c r="D40" s="4" t="inlineStr">
        <is>
          <t>$311.32</t>
        </is>
      </c>
      <c r="E40" s="4" t="n">
        <v>26</v>
      </c>
      <c r="F40" s="4" t="inlineStr">
        <is>
          <t>$8,330.00</t>
        </is>
      </c>
      <c r="G40" s="4" t="inlineStr">
        <is>
          <t>$339.44</t>
        </is>
      </c>
      <c r="H40" s="4" t="inlineStr">
        <is>
          <t>$731.12</t>
        </is>
      </c>
      <c r="I40" s="4" t="inlineStr">
        <is>
          <t>27.1</t>
        </is>
      </c>
      <c r="J40" s="4" t="inlineStr">
        <is>
          <t>-9.2</t>
        </is>
      </c>
      <c r="K40" s="4" t="inlineStr">
        <is>
          <t>Oversold-risky, RS weak</t>
        </is>
      </c>
    </row>
    <row r="41">
      <c r="A41" s="4" t="inlineStr">
        <is>
          <t>LLY</t>
        </is>
      </c>
      <c r="B41" s="4" t="inlineStr">
        <is>
          <t>1.0</t>
        </is>
      </c>
      <c r="C41" s="4" t="inlineStr">
        <is>
          <t>WEAK</t>
        </is>
      </c>
      <c r="D41" s="4" t="inlineStr">
        <is>
          <t>$996.49</t>
        </is>
      </c>
      <c r="E41" s="4" t="n">
        <v>8</v>
      </c>
      <c r="F41" s="4" t="inlineStr">
        <is>
          <t>$8,330.00</t>
        </is>
      </c>
      <c r="G41" s="4" t="inlineStr">
        <is>
          <t>$1,061.52</t>
        </is>
      </c>
      <c r="H41" s="4" t="inlineStr">
        <is>
          <t>$520.23</t>
        </is>
      </c>
      <c r="I41" s="4" t="inlineStr">
        <is>
          <t>32.5</t>
        </is>
      </c>
      <c r="J41" s="4" t="inlineStr">
        <is>
          <t>-4.2</t>
        </is>
      </c>
      <c r="K41" s="4" t="inlineStr">
        <is>
          <t>RS weak</t>
        </is>
      </c>
    </row>
    <row r="42">
      <c r="A42" s="4" t="inlineStr">
        <is>
          <t>KO</t>
        </is>
      </c>
      <c r="B42" s="4" t="inlineStr">
        <is>
          <t>1.0</t>
        </is>
      </c>
      <c r="C42" s="4" t="inlineStr">
        <is>
          <t>WEAK</t>
        </is>
      </c>
      <c r="D42" s="4" t="inlineStr">
        <is>
          <t>$77.27</t>
        </is>
      </c>
      <c r="E42" s="4" t="n">
        <v>107</v>
      </c>
      <c r="F42" s="4" t="inlineStr">
        <is>
          <t>$8,330.00</t>
        </is>
      </c>
      <c r="G42" s="4" t="inlineStr">
        <is>
          <t>$79.75</t>
        </is>
      </c>
      <c r="H42" s="4" t="inlineStr">
        <is>
          <t>$265.67</t>
        </is>
      </c>
      <c r="I42" s="4" t="inlineStr">
        <is>
          <t>80.4</t>
        </is>
      </c>
      <c r="J42" s="4" t="inlineStr">
        <is>
          <t>13.8</t>
        </is>
      </c>
      <c r="K42" s="4" t="inlineStr">
        <is>
          <t>Has bullish, Overbought</t>
        </is>
      </c>
    </row>
    <row r="43">
      <c r="A43" s="4" t="inlineStr">
        <is>
          <t>PG</t>
        </is>
      </c>
      <c r="B43" s="4" t="inlineStr">
        <is>
          <t>1.0</t>
        </is>
      </c>
      <c r="C43" s="4" t="inlineStr">
        <is>
          <t>WEAK</t>
        </is>
      </c>
      <c r="D43" s="4" t="inlineStr">
        <is>
          <t>$155.57</t>
        </is>
      </c>
      <c r="E43" s="4" t="n">
        <v>53</v>
      </c>
      <c r="F43" s="4" t="inlineStr">
        <is>
          <t>$8,330.00</t>
        </is>
      </c>
      <c r="G43" s="4" t="inlineStr">
        <is>
          <t>$160.88</t>
        </is>
      </c>
      <c r="H43" s="4" t="inlineStr">
        <is>
          <t>$281.28</t>
        </is>
      </c>
      <c r="I43" s="4" t="inlineStr">
        <is>
          <t>76.3</t>
        </is>
      </c>
      <c r="J43" s="4" t="inlineStr">
        <is>
          <t>11.7</t>
        </is>
      </c>
      <c r="K43" s="4" t="inlineStr">
        <is>
          <t>Has bullish, Overbought</t>
        </is>
      </c>
    </row>
    <row r="44">
      <c r="A44" s="4" t="inlineStr">
        <is>
          <t>PM</t>
        </is>
      </c>
      <c r="B44" s="4" t="inlineStr">
        <is>
          <t>1.0</t>
        </is>
      </c>
      <c r="C44" s="4" t="inlineStr">
        <is>
          <t>WEAK</t>
        </is>
      </c>
      <c r="D44" s="4" t="inlineStr">
        <is>
          <t>$181.40</t>
        </is>
      </c>
      <c r="E44" s="4" t="n">
        <v>45</v>
      </c>
      <c r="F44" s="4" t="inlineStr">
        <is>
          <t>$8,330.00</t>
        </is>
      </c>
      <c r="G44" s="4" t="inlineStr">
        <is>
          <t>$189.81</t>
        </is>
      </c>
      <c r="H44" s="4" t="inlineStr">
        <is>
          <t>$378.32</t>
        </is>
      </c>
      <c r="I44" s="4" t="inlineStr">
        <is>
          <t>75.6</t>
        </is>
      </c>
      <c r="J44" s="4" t="inlineStr">
        <is>
          <t>13.6</t>
        </is>
      </c>
      <c r="K44" s="4" t="inlineStr">
        <is>
          <t>Has bullish, Overbought</t>
        </is>
      </c>
    </row>
    <row r="45">
      <c r="A45" s="4" t="inlineStr">
        <is>
          <t>TXN</t>
        </is>
      </c>
      <c r="B45" s="4" t="inlineStr">
        <is>
          <t>0.0</t>
        </is>
      </c>
      <c r="C45" s="4" t="inlineStr">
        <is>
          <t>WEAK</t>
        </is>
      </c>
      <c r="D45" s="4" t="inlineStr">
        <is>
          <t>$224.16</t>
        </is>
      </c>
      <c r="E45" s="4" t="n">
        <v>37</v>
      </c>
      <c r="F45" s="4" t="inlineStr">
        <is>
          <t>$8,330.00</t>
        </is>
      </c>
      <c r="G45" s="4" t="inlineStr">
        <is>
          <t>$237.73</t>
        </is>
      </c>
      <c r="H45" s="4" t="inlineStr">
        <is>
          <t>$502.00</t>
        </is>
      </c>
      <c r="I45" s="4" t="inlineStr">
        <is>
          <t>81.5</t>
        </is>
      </c>
      <c r="J45" s="4" t="inlineStr">
        <is>
          <t>27.5</t>
        </is>
      </c>
      <c r="K45" s="4" t="inlineStr">
        <is>
          <t>Has bullish, Overbought</t>
        </is>
      </c>
    </row>
    <row r="46">
      <c r="A46" s="4" t="inlineStr">
        <is>
          <t>CSCO</t>
        </is>
      </c>
      <c r="B46" s="4" t="inlineStr">
        <is>
          <t>0.0</t>
        </is>
      </c>
      <c r="C46" s="4" t="inlineStr">
        <is>
          <t>WEAK</t>
        </is>
      </c>
      <c r="D46" s="4" t="inlineStr">
        <is>
          <t>$82.37</t>
        </is>
      </c>
      <c r="E46" s="4" t="n">
        <v>101</v>
      </c>
      <c r="F46" s="4" t="inlineStr">
        <is>
          <t>$8,330.00</t>
        </is>
      </c>
      <c r="G46" s="4" t="inlineStr">
        <is>
          <t>$85.93</t>
        </is>
      </c>
      <c r="H46" s="4" t="inlineStr">
        <is>
          <t>$359.27</t>
        </is>
      </c>
      <c r="I46" s="4" t="inlineStr">
        <is>
          <t>74.5</t>
        </is>
      </c>
      <c r="J46" s="4" t="inlineStr">
        <is>
          <t>9.1</t>
        </is>
      </c>
      <c r="K46" s="4" t="inlineStr">
        <is>
          <t>Has bullish, Overbought</t>
        </is>
      </c>
    </row>
    <row r="47">
      <c r="A47" s="4" t="inlineStr">
        <is>
          <t>PEP</t>
        </is>
      </c>
      <c r="B47" s="4" t="inlineStr">
        <is>
          <t>0.0</t>
        </is>
      </c>
      <c r="C47" s="4" t="inlineStr">
        <is>
          <t>WEAK</t>
        </is>
      </c>
      <c r="D47" s="4" t="inlineStr">
        <is>
          <t>$162.05</t>
        </is>
      </c>
      <c r="E47" s="4" t="n">
        <v>51</v>
      </c>
      <c r="F47" s="4" t="inlineStr">
        <is>
          <t>$8,330.00</t>
        </is>
      </c>
      <c r="G47" s="4" t="inlineStr">
        <is>
          <t>$168.44</t>
        </is>
      </c>
      <c r="H47" s="4" t="inlineStr">
        <is>
          <t>$325.45</t>
        </is>
      </c>
      <c r="I47" s="4" t="inlineStr">
        <is>
          <t>85.5</t>
        </is>
      </c>
      <c r="J47" s="4" t="inlineStr">
        <is>
          <t>15.9</t>
        </is>
      </c>
      <c r="K47" s="4" t="inlineStr">
        <is>
          <t>Has bullish, Overbought</t>
        </is>
      </c>
    </row>
    <row r="48">
      <c r="A48" s="4" t="inlineStr">
        <is>
          <t>CVX</t>
        </is>
      </c>
      <c r="B48" s="4" t="inlineStr">
        <is>
          <t>0.0</t>
        </is>
      </c>
      <c r="C48" s="4" t="inlineStr">
        <is>
          <t>WEAK</t>
        </is>
      </c>
      <c r="D48" s="4" t="inlineStr">
        <is>
          <t>$176.21</t>
        </is>
      </c>
      <c r="E48" s="4" t="n">
        <v>47</v>
      </c>
      <c r="F48" s="4" t="inlineStr">
        <is>
          <t>$8,330.00</t>
        </is>
      </c>
      <c r="G48" s="4" t="inlineStr">
        <is>
          <t>$182.62</t>
        </is>
      </c>
      <c r="H48" s="4" t="inlineStr">
        <is>
          <t>$301.24</t>
        </is>
      </c>
      <c r="I48" s="4" t="inlineStr">
        <is>
          <t>77.7</t>
        </is>
      </c>
      <c r="J48" s="4" t="inlineStr">
        <is>
          <t>7.7</t>
        </is>
      </c>
      <c r="K48" s="4" t="inlineStr">
        <is>
          <t>Has bullish, Overbought</t>
        </is>
      </c>
    </row>
    <row r="49">
      <c r="A49" s="4" t="inlineStr">
        <is>
          <t>WMT</t>
        </is>
      </c>
      <c r="B49" s="4" t="inlineStr">
        <is>
          <t>0.0</t>
        </is>
      </c>
      <c r="C49" s="4" t="inlineStr">
        <is>
          <t>WEAK</t>
        </is>
      </c>
      <c r="D49" s="4" t="inlineStr">
        <is>
          <t>$127.08</t>
        </is>
      </c>
      <c r="E49" s="4" t="n">
        <v>65</v>
      </c>
      <c r="F49" s="4" t="inlineStr">
        <is>
          <t>$8,330.00</t>
        </is>
      </c>
      <c r="G49" s="4" t="inlineStr">
        <is>
          <t>$132.44</t>
        </is>
      </c>
      <c r="H49" s="4" t="inlineStr">
        <is>
          <t>$348.07</t>
        </is>
      </c>
      <c r="I49" s="4" t="inlineStr">
        <is>
          <t>70.2</t>
        </is>
      </c>
      <c r="J49" s="4" t="inlineStr">
        <is>
          <t>12.9</t>
        </is>
      </c>
      <c r="K49" s="4" t="inlineStr">
        <is>
          <t>Has bullish, Overbought</t>
        </is>
      </c>
    </row>
    <row r="50">
      <c r="A50" s="4" t="inlineStr">
        <is>
          <t>JNJ</t>
        </is>
      </c>
      <c r="B50" s="4" t="inlineStr">
        <is>
          <t>0.0</t>
        </is>
      </c>
      <c r="C50" s="4" t="inlineStr">
        <is>
          <t>WEAK</t>
        </is>
      </c>
      <c r="D50" s="4" t="inlineStr">
        <is>
          <t>$234.38</t>
        </is>
      </c>
      <c r="E50" s="4" t="n">
        <v>35</v>
      </c>
      <c r="F50" s="4" t="inlineStr">
        <is>
          <t>$8,330.00</t>
        </is>
      </c>
      <c r="G50" s="4" t="inlineStr">
        <is>
          <t>$242.47</t>
        </is>
      </c>
      <c r="H50" s="4" t="inlineStr">
        <is>
          <t>$283.35</t>
        </is>
      </c>
      <c r="I50" s="4" t="inlineStr">
        <is>
          <t>91.8</t>
        </is>
      </c>
      <c r="J50" s="4" t="inlineStr">
        <is>
          <t>14.8</t>
        </is>
      </c>
      <c r="K50" s="4" t="inlineStr">
        <is>
          <t>Has bullish, Overbought</t>
        </is>
      </c>
    </row>
    <row r="51">
      <c r="A51" s="4" t="inlineStr">
        <is>
          <t>XOM</t>
        </is>
      </c>
      <c r="B51" s="4" t="inlineStr">
        <is>
          <t>0.0</t>
        </is>
      </c>
      <c r="C51" s="4" t="inlineStr">
        <is>
          <t>WEAK</t>
        </is>
      </c>
      <c r="D51" s="4" t="inlineStr">
        <is>
          <t>$142.80</t>
        </is>
      </c>
      <c r="E51" s="4" t="n">
        <v>58</v>
      </c>
      <c r="F51" s="4" t="inlineStr">
        <is>
          <t>$8,330.00</t>
        </is>
      </c>
      <c r="G51" s="4" t="inlineStr">
        <is>
          <t>$149.07</t>
        </is>
      </c>
      <c r="H51" s="4" t="inlineStr">
        <is>
          <t>$363.49</t>
        </is>
      </c>
      <c r="I51" s="4" t="inlineStr">
        <is>
          <t>83.0</t>
        </is>
      </c>
      <c r="J51" s="4" t="inlineStr">
        <is>
          <t>14.0</t>
        </is>
      </c>
      <c r="K51" s="4" t="inlineStr">
        <is>
          <t>Has bullish, Overbought</t>
        </is>
      </c>
    </row>
  </sheetData>
  <mergeCells count="3">
    <mergeCell ref="A5:K5"/>
    <mergeCell ref="A1:L1"/>
    <mergeCell ref="A20:K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1" customWidth="1" min="4" max="4"/>
    <col width="10" customWidth="1" min="5" max="5"/>
    <col width="7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1" customWidth="1" min="12" max="12"/>
    <col width="10" customWidth="1" min="13" max="13"/>
    <col width="8" customWidth="1" min="14" max="14"/>
    <col width="9" customWidth="1" min="15" max="15"/>
    <col width="22" customWidth="1" min="16" max="16"/>
  </cols>
  <sheetData>
    <row r="1">
      <c r="A1" s="1" t="inlineStr">
        <is>
          <t>TRADE JOURNAL - Track Your Entries &amp; Exits (LONG &amp; SHORT)</t>
        </is>
      </c>
    </row>
    <row r="2">
      <c r="A2" s="16" t="inlineStr">
        <is>
          <t>Instructions: Fill in columns A-I when entering. Fill in J-L when exiting. P&amp;L auto-calculates based on Direction (LONG/SHORT).</t>
        </is>
      </c>
    </row>
    <row r="3">
      <c r="A3" s="17" t="inlineStr">
        <is>
          <t>Direction: LONG = buy then sell | SHORT = sell then buy to cover. For shorts, profit = entry - exit.</t>
        </is>
      </c>
    </row>
    <row r="5">
      <c r="A5" s="3" t="inlineStr">
        <is>
          <t>Ticker</t>
        </is>
      </c>
      <c r="B5" s="3" t="inlineStr">
        <is>
          <t>Direction</t>
        </is>
      </c>
      <c r="C5" s="3" t="inlineStr">
        <is>
          <t>Setup</t>
        </is>
      </c>
      <c r="D5" s="3" t="inlineStr">
        <is>
          <t>Entry Date</t>
        </is>
      </c>
      <c r="E5" s="3" t="inlineStr">
        <is>
          <t>Entry Price</t>
        </is>
      </c>
      <c r="F5" s="3" t="inlineStr">
        <is>
          <t>Shares</t>
        </is>
      </c>
      <c r="G5" s="3" t="inlineStr">
        <is>
          <t>Position $</t>
        </is>
      </c>
      <c r="H5" s="3" t="inlineStr">
        <is>
          <t>Stop</t>
        </is>
      </c>
      <c r="I5" s="3" t="inlineStr">
        <is>
          <t>Target</t>
        </is>
      </c>
      <c r="J5" s="3" t="inlineStr">
        <is>
          <t>Exit Date</t>
        </is>
      </c>
      <c r="K5" s="3" t="inlineStr">
        <is>
          <t>Exit Price</t>
        </is>
      </c>
      <c r="L5" s="3" t="inlineStr">
        <is>
          <t>Exit Reason</t>
        </is>
      </c>
      <c r="M5" s="3" t="inlineStr">
        <is>
          <t>P&amp;L $</t>
        </is>
      </c>
      <c r="N5" s="3" t="inlineStr">
        <is>
          <t>P&amp;L %</t>
        </is>
      </c>
      <c r="O5" s="3" t="inlineStr">
        <is>
          <t>Hold Days</t>
        </is>
      </c>
      <c r="P5" s="3" t="inlineStr">
        <is>
          <t>Notes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>
        <f>IF(AND(K6&lt;&gt;"",E6&lt;&gt;"",F6&lt;&gt;""),IF(B6="SHORT",(E6-K6)*F6,(K6-E6)*F6),"")</f>
        <v/>
      </c>
      <c r="N6" s="4">
        <f>IF(AND(K6&lt;&gt;"",E6&lt;&gt;""),IF(B6="SHORT",(E6-K6)/E6*100,(K6-E6)/E6*100),"")</f>
        <v/>
      </c>
      <c r="O6" s="4">
        <f>IF(AND(J6&lt;&gt;"",D6&lt;&gt;""),J6-D6,"")</f>
        <v/>
      </c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>
        <f>IF(AND(K7&lt;&gt;"",E7&lt;&gt;"",F7&lt;&gt;""),IF(B7="SHORT",(E7-K7)*F7,(K7-E7)*F7),"")</f>
        <v/>
      </c>
      <c r="N7" s="4">
        <f>IF(AND(K7&lt;&gt;"",E7&lt;&gt;""),IF(B7="SHORT",(E7-K7)/E7*100,(K7-E7)/E7*100),"")</f>
        <v/>
      </c>
      <c r="O7" s="4">
        <f>IF(AND(J7&lt;&gt;"",D7&lt;&gt;""),J7-D7,"")</f>
        <v/>
      </c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>
        <f>IF(AND(K8&lt;&gt;"",E8&lt;&gt;"",F8&lt;&gt;""),IF(B8="SHORT",(E8-K8)*F8,(K8-E8)*F8),"")</f>
        <v/>
      </c>
      <c r="N8" s="4">
        <f>IF(AND(K8&lt;&gt;"",E8&lt;&gt;""),IF(B8="SHORT",(E8-K8)/E8*100,(K8-E8)/E8*100),"")</f>
        <v/>
      </c>
      <c r="O8" s="4">
        <f>IF(AND(J8&lt;&gt;"",D8&lt;&gt;""),J8-D8,"")</f>
        <v/>
      </c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>
        <f>IF(AND(K9&lt;&gt;"",E9&lt;&gt;"",F9&lt;&gt;""),IF(B9="SHORT",(E9-K9)*F9,(K9-E9)*F9),"")</f>
        <v/>
      </c>
      <c r="N9" s="4">
        <f>IF(AND(K9&lt;&gt;"",E9&lt;&gt;""),IF(B9="SHORT",(E9-K9)/E9*100,(K9-E9)/E9*100),"")</f>
        <v/>
      </c>
      <c r="O9" s="4">
        <f>IF(AND(J9&lt;&gt;"",D9&lt;&gt;""),J9-D9,"")</f>
        <v/>
      </c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>
        <f>IF(AND(K10&lt;&gt;"",E10&lt;&gt;"",F10&lt;&gt;""),IF(B10="SHORT",(E10-K10)*F10,(K10-E10)*F10),"")</f>
        <v/>
      </c>
      <c r="N10" s="4">
        <f>IF(AND(K10&lt;&gt;"",E10&lt;&gt;""),IF(B10="SHORT",(E10-K10)/E10*100,(K10-E10)/E10*100),"")</f>
        <v/>
      </c>
      <c r="O10" s="4">
        <f>IF(AND(J10&lt;&gt;"",D10&lt;&gt;""),J10-D10,"")</f>
        <v/>
      </c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>
        <f>IF(AND(K11&lt;&gt;"",E11&lt;&gt;"",F11&lt;&gt;""),IF(B11="SHORT",(E11-K11)*F11,(K11-E11)*F11),"")</f>
        <v/>
      </c>
      <c r="N11" s="4">
        <f>IF(AND(K11&lt;&gt;"",E11&lt;&gt;""),IF(B11="SHORT",(E11-K11)/E11*100,(K11-E11)/E11*100),"")</f>
        <v/>
      </c>
      <c r="O11" s="4">
        <f>IF(AND(J11&lt;&gt;"",D11&lt;&gt;""),J11-D11,"")</f>
        <v/>
      </c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>
        <f>IF(AND(K12&lt;&gt;"",E12&lt;&gt;"",F12&lt;&gt;""),IF(B12="SHORT",(E12-K12)*F12,(K12-E12)*F12),"")</f>
        <v/>
      </c>
      <c r="N12" s="4">
        <f>IF(AND(K12&lt;&gt;"",E12&lt;&gt;""),IF(B12="SHORT",(E12-K12)/E12*100,(K12-E12)/E12*100),"")</f>
        <v/>
      </c>
      <c r="O12" s="4">
        <f>IF(AND(J12&lt;&gt;"",D12&lt;&gt;""),J12-D12,"")</f>
        <v/>
      </c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>
        <f>IF(AND(K13&lt;&gt;"",E13&lt;&gt;"",F13&lt;&gt;""),IF(B13="SHORT",(E13-K13)*F13,(K13-E13)*F13),"")</f>
        <v/>
      </c>
      <c r="N13" s="4">
        <f>IF(AND(K13&lt;&gt;"",E13&lt;&gt;""),IF(B13="SHORT",(E13-K13)/E13*100,(K13-E13)/E13*100),"")</f>
        <v/>
      </c>
      <c r="O13" s="4">
        <f>IF(AND(J13&lt;&gt;"",D13&lt;&gt;""),J13-D13,"")</f>
        <v/>
      </c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>
        <f>IF(AND(K14&lt;&gt;"",E14&lt;&gt;"",F14&lt;&gt;""),IF(B14="SHORT",(E14-K14)*F14,(K14-E14)*F14),"")</f>
        <v/>
      </c>
      <c r="N14" s="4">
        <f>IF(AND(K14&lt;&gt;"",E14&lt;&gt;""),IF(B14="SHORT",(E14-K14)/E14*100,(K14-E14)/E14*100),"")</f>
        <v/>
      </c>
      <c r="O14" s="4">
        <f>IF(AND(J14&lt;&gt;"",D14&lt;&gt;""),J14-D14,"")</f>
        <v/>
      </c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>
        <f>IF(AND(K15&lt;&gt;"",E15&lt;&gt;"",F15&lt;&gt;""),IF(B15="SHORT",(E15-K15)*F15,(K15-E15)*F15),"")</f>
        <v/>
      </c>
      <c r="N15" s="4">
        <f>IF(AND(K15&lt;&gt;"",E15&lt;&gt;""),IF(B15="SHORT",(E15-K15)/E15*100,(K15-E15)/E15*100),"")</f>
        <v/>
      </c>
      <c r="O15" s="4">
        <f>IF(AND(J15&lt;&gt;"",D15&lt;&gt;""),J15-D15,"")</f>
        <v/>
      </c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>
        <f>IF(AND(K16&lt;&gt;"",E16&lt;&gt;"",F16&lt;&gt;""),IF(B16="SHORT",(E16-K16)*F16,(K16-E16)*F16),"")</f>
        <v/>
      </c>
      <c r="N16" s="4">
        <f>IF(AND(K16&lt;&gt;"",E16&lt;&gt;""),IF(B16="SHORT",(E16-K16)/E16*100,(K16-E16)/E16*100),"")</f>
        <v/>
      </c>
      <c r="O16" s="4">
        <f>IF(AND(J16&lt;&gt;"",D16&lt;&gt;""),J16-D16,"")</f>
        <v/>
      </c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>
        <f>IF(AND(K17&lt;&gt;"",E17&lt;&gt;"",F17&lt;&gt;""),IF(B17="SHORT",(E17-K17)*F17,(K17-E17)*F17),"")</f>
        <v/>
      </c>
      <c r="N17" s="4">
        <f>IF(AND(K17&lt;&gt;"",E17&lt;&gt;""),IF(B17="SHORT",(E17-K17)/E17*100,(K17-E17)/E17*100),"")</f>
        <v/>
      </c>
      <c r="O17" s="4">
        <f>IF(AND(J17&lt;&gt;"",D17&lt;&gt;""),J17-D17,"")</f>
        <v/>
      </c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>
        <f>IF(AND(K18&lt;&gt;"",E18&lt;&gt;"",F18&lt;&gt;""),IF(B18="SHORT",(E18-K18)*F18,(K18-E18)*F18),"")</f>
        <v/>
      </c>
      <c r="N18" s="4">
        <f>IF(AND(K18&lt;&gt;"",E18&lt;&gt;""),IF(B18="SHORT",(E18-K18)/E18*100,(K18-E18)/E18*100),"")</f>
        <v/>
      </c>
      <c r="O18" s="4">
        <f>IF(AND(J18&lt;&gt;"",D18&lt;&gt;""),J18-D18,"")</f>
        <v/>
      </c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>
        <f>IF(AND(K19&lt;&gt;"",E19&lt;&gt;"",F19&lt;&gt;""),IF(B19="SHORT",(E19-K19)*F19,(K19-E19)*F19),"")</f>
        <v/>
      </c>
      <c r="N19" s="4">
        <f>IF(AND(K19&lt;&gt;"",E19&lt;&gt;""),IF(B19="SHORT",(E19-K19)/E19*100,(K19-E19)/E19*100),"")</f>
        <v/>
      </c>
      <c r="O19" s="4">
        <f>IF(AND(J19&lt;&gt;"",D19&lt;&gt;""),J19-D19,"")</f>
        <v/>
      </c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>
        <f>IF(AND(K20&lt;&gt;"",E20&lt;&gt;"",F20&lt;&gt;""),IF(B20="SHORT",(E20-K20)*F20,(K20-E20)*F20),"")</f>
        <v/>
      </c>
      <c r="N20" s="4">
        <f>IF(AND(K20&lt;&gt;"",E20&lt;&gt;""),IF(B20="SHORT",(E20-K20)/E20*100,(K20-E20)/E20*100),"")</f>
        <v/>
      </c>
      <c r="O20" s="4">
        <f>IF(AND(J20&lt;&gt;"",D20&lt;&gt;""),J20-D20,"")</f>
        <v/>
      </c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>
        <f>IF(AND(K21&lt;&gt;"",E21&lt;&gt;"",F21&lt;&gt;""),IF(B21="SHORT",(E21-K21)*F21,(K21-E21)*F21),"")</f>
        <v/>
      </c>
      <c r="N21" s="4">
        <f>IF(AND(K21&lt;&gt;"",E21&lt;&gt;""),IF(B21="SHORT",(E21-K21)/E21*100,(K21-E21)/E21*100),"")</f>
        <v/>
      </c>
      <c r="O21" s="4">
        <f>IF(AND(J21&lt;&gt;"",D21&lt;&gt;""),J21-D21,"")</f>
        <v/>
      </c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>
        <f>IF(AND(K22&lt;&gt;"",E22&lt;&gt;"",F22&lt;&gt;""),IF(B22="SHORT",(E22-K22)*F22,(K22-E22)*F22),"")</f>
        <v/>
      </c>
      <c r="N22" s="4">
        <f>IF(AND(K22&lt;&gt;"",E22&lt;&gt;""),IF(B22="SHORT",(E22-K22)/E22*100,(K22-E22)/E22*100),"")</f>
        <v/>
      </c>
      <c r="O22" s="4">
        <f>IF(AND(J22&lt;&gt;"",D22&lt;&gt;""),J22-D22,"")</f>
        <v/>
      </c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>
        <f>IF(AND(K23&lt;&gt;"",E23&lt;&gt;"",F23&lt;&gt;""),IF(B23="SHORT",(E23-K23)*F23,(K23-E23)*F23),"")</f>
        <v/>
      </c>
      <c r="N23" s="4">
        <f>IF(AND(K23&lt;&gt;"",E23&lt;&gt;""),IF(B23="SHORT",(E23-K23)/E23*100,(K23-E23)/E23*100),"")</f>
        <v/>
      </c>
      <c r="O23" s="4">
        <f>IF(AND(J23&lt;&gt;"",D23&lt;&gt;""),J23-D23,"")</f>
        <v/>
      </c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>
        <f>IF(AND(K24&lt;&gt;"",E24&lt;&gt;"",F24&lt;&gt;""),IF(B24="SHORT",(E24-K24)*F24,(K24-E24)*F24),"")</f>
        <v/>
      </c>
      <c r="N24" s="4">
        <f>IF(AND(K24&lt;&gt;"",E24&lt;&gt;""),IF(B24="SHORT",(E24-K24)/E24*100,(K24-E24)/E24*100),"")</f>
        <v/>
      </c>
      <c r="O24" s="4">
        <f>IF(AND(J24&lt;&gt;"",D24&lt;&gt;""),J24-D24,"")</f>
        <v/>
      </c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>
        <f>IF(AND(K25&lt;&gt;"",E25&lt;&gt;"",F25&lt;&gt;""),IF(B25="SHORT",(E25-K25)*F25,(K25-E25)*F25),"")</f>
        <v/>
      </c>
      <c r="N25" s="4">
        <f>IF(AND(K25&lt;&gt;"",E25&lt;&gt;""),IF(B25="SHORT",(E25-K25)/E25*100,(K25-E25)/E25*100),"")</f>
        <v/>
      </c>
      <c r="O25" s="4">
        <f>IF(AND(J25&lt;&gt;"",D25&lt;&gt;""),J25-D25,"")</f>
        <v/>
      </c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>
        <f>IF(AND(K26&lt;&gt;"",E26&lt;&gt;"",F26&lt;&gt;""),IF(B26="SHORT",(E26-K26)*F26,(K26-E26)*F26),"")</f>
        <v/>
      </c>
      <c r="N26" s="4">
        <f>IF(AND(K26&lt;&gt;"",E26&lt;&gt;""),IF(B26="SHORT",(E26-K26)/E26*100,(K26-E26)/E26*100),"")</f>
        <v/>
      </c>
      <c r="O26" s="4">
        <f>IF(AND(J26&lt;&gt;"",D26&lt;&gt;""),J26-D26,"")</f>
        <v/>
      </c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>
        <f>IF(AND(K27&lt;&gt;"",E27&lt;&gt;"",F27&lt;&gt;""),IF(B27="SHORT",(E27-K27)*F27,(K27-E27)*F27),"")</f>
        <v/>
      </c>
      <c r="N27" s="4">
        <f>IF(AND(K27&lt;&gt;"",E27&lt;&gt;""),IF(B27="SHORT",(E27-K27)/E27*100,(K27-E27)/E27*100),"")</f>
        <v/>
      </c>
      <c r="O27" s="4">
        <f>IF(AND(J27&lt;&gt;"",D27&lt;&gt;""),J27-D27,"")</f>
        <v/>
      </c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>
        <f>IF(AND(K28&lt;&gt;"",E28&lt;&gt;"",F28&lt;&gt;""),IF(B28="SHORT",(E28-K28)*F28,(K28-E28)*F28),"")</f>
        <v/>
      </c>
      <c r="N28" s="4">
        <f>IF(AND(K28&lt;&gt;"",E28&lt;&gt;""),IF(B28="SHORT",(E28-K28)/E28*100,(K28-E28)/E28*100),"")</f>
        <v/>
      </c>
      <c r="O28" s="4">
        <f>IF(AND(J28&lt;&gt;"",D28&lt;&gt;""),J28-D28,"")</f>
        <v/>
      </c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>
        <f>IF(AND(K29&lt;&gt;"",E29&lt;&gt;"",F29&lt;&gt;""),IF(B29="SHORT",(E29-K29)*F29,(K29-E29)*F29),"")</f>
        <v/>
      </c>
      <c r="N29" s="4">
        <f>IF(AND(K29&lt;&gt;"",E29&lt;&gt;""),IF(B29="SHORT",(E29-K29)/E29*100,(K29-E29)/E29*100),"")</f>
        <v/>
      </c>
      <c r="O29" s="4">
        <f>IF(AND(J29&lt;&gt;"",D29&lt;&gt;""),J29-D29,"")</f>
        <v/>
      </c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>
        <f>IF(AND(K30&lt;&gt;"",E30&lt;&gt;"",F30&lt;&gt;""),IF(B30="SHORT",(E30-K30)*F30,(K30-E30)*F30),"")</f>
        <v/>
      </c>
      <c r="N30" s="4">
        <f>IF(AND(K30&lt;&gt;"",E30&lt;&gt;""),IF(B30="SHORT",(E30-K30)/E30*100,(K30-E30)/E30*100),"")</f>
        <v/>
      </c>
      <c r="O30" s="4">
        <f>IF(AND(J30&lt;&gt;"",D30&lt;&gt;""),J30-D30,"")</f>
        <v/>
      </c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>
        <f>IF(AND(K31&lt;&gt;"",E31&lt;&gt;"",F31&lt;&gt;""),IF(B31="SHORT",(E31-K31)*F31,(K31-E31)*F31),"")</f>
        <v/>
      </c>
      <c r="N31" s="4">
        <f>IF(AND(K31&lt;&gt;"",E31&lt;&gt;""),IF(B31="SHORT",(E31-K31)/E31*100,(K31-E31)/E31*100),"")</f>
        <v/>
      </c>
      <c r="O31" s="4">
        <f>IF(AND(J31&lt;&gt;"",D31&lt;&gt;""),J31-D31,"")</f>
        <v/>
      </c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>
        <f>IF(AND(K32&lt;&gt;"",E32&lt;&gt;"",F32&lt;&gt;""),IF(B32="SHORT",(E32-K32)*F32,(K32-E32)*F32),"")</f>
        <v/>
      </c>
      <c r="N32" s="4">
        <f>IF(AND(K32&lt;&gt;"",E32&lt;&gt;""),IF(B32="SHORT",(E32-K32)/E32*100,(K32-E32)/E32*100),"")</f>
        <v/>
      </c>
      <c r="O32" s="4">
        <f>IF(AND(J32&lt;&gt;"",D32&lt;&gt;""),J32-D32,"")</f>
        <v/>
      </c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>
        <f>IF(AND(K33&lt;&gt;"",E33&lt;&gt;"",F33&lt;&gt;""),IF(B33="SHORT",(E33-K33)*F33,(K33-E33)*F33),"")</f>
        <v/>
      </c>
      <c r="N33" s="4">
        <f>IF(AND(K33&lt;&gt;"",E33&lt;&gt;""),IF(B33="SHORT",(E33-K33)/E33*100,(K33-E33)/E33*100),"")</f>
        <v/>
      </c>
      <c r="O33" s="4">
        <f>IF(AND(J33&lt;&gt;"",D33&lt;&gt;""),J33-D33,"")</f>
        <v/>
      </c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>
        <f>IF(AND(K34&lt;&gt;"",E34&lt;&gt;"",F34&lt;&gt;""),IF(B34="SHORT",(E34-K34)*F34,(K34-E34)*F34),"")</f>
        <v/>
      </c>
      <c r="N34" s="4">
        <f>IF(AND(K34&lt;&gt;"",E34&lt;&gt;""),IF(B34="SHORT",(E34-K34)/E34*100,(K34-E34)/E34*100),"")</f>
        <v/>
      </c>
      <c r="O34" s="4">
        <f>IF(AND(J34&lt;&gt;"",D34&lt;&gt;""),J34-D34,"")</f>
        <v/>
      </c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>
        <f>IF(AND(K35&lt;&gt;"",E35&lt;&gt;"",F35&lt;&gt;""),IF(B35="SHORT",(E35-K35)*F35,(K35-E35)*F35),"")</f>
        <v/>
      </c>
      <c r="N35" s="4">
        <f>IF(AND(K35&lt;&gt;"",E35&lt;&gt;""),IF(B35="SHORT",(E35-K35)/E35*100,(K35-E35)/E35*100),"")</f>
        <v/>
      </c>
      <c r="O35" s="4">
        <f>IF(AND(J35&lt;&gt;"",D35&lt;&gt;""),J35-D35,"")</f>
        <v/>
      </c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>
        <f>IF(AND(K36&lt;&gt;"",E36&lt;&gt;"",F36&lt;&gt;""),IF(B36="SHORT",(E36-K36)*F36,(K36-E36)*F36),"")</f>
        <v/>
      </c>
      <c r="N36" s="4">
        <f>IF(AND(K36&lt;&gt;"",E36&lt;&gt;""),IF(B36="SHORT",(E36-K36)/E36*100,(K36-E36)/E36*100),"")</f>
        <v/>
      </c>
      <c r="O36" s="4">
        <f>IF(AND(J36&lt;&gt;"",D36&lt;&gt;""),J36-D36,"")</f>
        <v/>
      </c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>
        <f>IF(AND(K37&lt;&gt;"",E37&lt;&gt;"",F37&lt;&gt;""),IF(B37="SHORT",(E37-K37)*F37,(K37-E37)*F37),"")</f>
        <v/>
      </c>
      <c r="N37" s="4">
        <f>IF(AND(K37&lt;&gt;"",E37&lt;&gt;""),IF(B37="SHORT",(E37-K37)/E37*100,(K37-E37)/E37*100),"")</f>
        <v/>
      </c>
      <c r="O37" s="4">
        <f>IF(AND(J37&lt;&gt;"",D37&lt;&gt;""),J37-D37,"")</f>
        <v/>
      </c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>
        <f>IF(AND(K38&lt;&gt;"",E38&lt;&gt;"",F38&lt;&gt;""),IF(B38="SHORT",(E38-K38)*F38,(K38-E38)*F38),"")</f>
        <v/>
      </c>
      <c r="N38" s="4">
        <f>IF(AND(K38&lt;&gt;"",E38&lt;&gt;""),IF(B38="SHORT",(E38-K38)/E38*100,(K38-E38)/E38*100),"")</f>
        <v/>
      </c>
      <c r="O38" s="4">
        <f>IF(AND(J38&lt;&gt;"",D38&lt;&gt;""),J38-D38,"")</f>
        <v/>
      </c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>
        <f>IF(AND(K39&lt;&gt;"",E39&lt;&gt;"",F39&lt;&gt;""),IF(B39="SHORT",(E39-K39)*F39,(K39-E39)*F39),"")</f>
        <v/>
      </c>
      <c r="N39" s="4">
        <f>IF(AND(K39&lt;&gt;"",E39&lt;&gt;""),IF(B39="SHORT",(E39-K39)/E39*100,(K39-E39)/E39*100),"")</f>
        <v/>
      </c>
      <c r="O39" s="4">
        <f>IF(AND(J39&lt;&gt;"",D39&lt;&gt;""),J39-D39,"")</f>
        <v/>
      </c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>
        <f>IF(AND(K40&lt;&gt;"",E40&lt;&gt;"",F40&lt;&gt;""),IF(B40="SHORT",(E40-K40)*F40,(K40-E40)*F40),"")</f>
        <v/>
      </c>
      <c r="N40" s="4">
        <f>IF(AND(K40&lt;&gt;"",E40&lt;&gt;""),IF(B40="SHORT",(E40-K40)/E40*100,(K40-E40)/E40*100),"")</f>
        <v/>
      </c>
      <c r="O40" s="4">
        <f>IF(AND(J40&lt;&gt;"",D40&lt;&gt;""),J40-D40,"")</f>
        <v/>
      </c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>
        <f>IF(AND(K41&lt;&gt;"",E41&lt;&gt;"",F41&lt;&gt;""),IF(B41="SHORT",(E41-K41)*F41,(K41-E41)*F41),"")</f>
        <v/>
      </c>
      <c r="N41" s="4">
        <f>IF(AND(K41&lt;&gt;"",E41&lt;&gt;""),IF(B41="SHORT",(E41-K41)/E41*100,(K41-E41)/E41*100),"")</f>
        <v/>
      </c>
      <c r="O41" s="4">
        <f>IF(AND(J41&lt;&gt;"",D41&lt;&gt;""),J41-D41,"")</f>
        <v/>
      </c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>
        <f>IF(AND(K42&lt;&gt;"",E42&lt;&gt;"",F42&lt;&gt;""),IF(B42="SHORT",(E42-K42)*F42,(K42-E42)*F42),"")</f>
        <v/>
      </c>
      <c r="N42" s="4">
        <f>IF(AND(K42&lt;&gt;"",E42&lt;&gt;""),IF(B42="SHORT",(E42-K42)/E42*100,(K42-E42)/E42*100),"")</f>
        <v/>
      </c>
      <c r="O42" s="4">
        <f>IF(AND(J42&lt;&gt;"",D42&lt;&gt;""),J42-D42,"")</f>
        <v/>
      </c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>
        <f>IF(AND(K43&lt;&gt;"",E43&lt;&gt;"",F43&lt;&gt;""),IF(B43="SHORT",(E43-K43)*F43,(K43-E43)*F43),"")</f>
        <v/>
      </c>
      <c r="N43" s="4">
        <f>IF(AND(K43&lt;&gt;"",E43&lt;&gt;""),IF(B43="SHORT",(E43-K43)/E43*100,(K43-E43)/E43*100),"")</f>
        <v/>
      </c>
      <c r="O43" s="4">
        <f>IF(AND(J43&lt;&gt;"",D43&lt;&gt;""),J43-D43,"")</f>
        <v/>
      </c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>
        <f>IF(AND(K44&lt;&gt;"",E44&lt;&gt;"",F44&lt;&gt;""),IF(B44="SHORT",(E44-K44)*F44,(K44-E44)*F44),"")</f>
        <v/>
      </c>
      <c r="N44" s="4">
        <f>IF(AND(K44&lt;&gt;"",E44&lt;&gt;""),IF(B44="SHORT",(E44-K44)/E44*100,(K44-E44)/E44*100),"")</f>
        <v/>
      </c>
      <c r="O44" s="4">
        <f>IF(AND(J44&lt;&gt;"",D44&lt;&gt;""),J44-D44,"")</f>
        <v/>
      </c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>
        <f>IF(AND(K45&lt;&gt;"",E45&lt;&gt;"",F45&lt;&gt;""),IF(B45="SHORT",(E45-K45)*F45,(K45-E45)*F45),"")</f>
        <v/>
      </c>
      <c r="N45" s="4">
        <f>IF(AND(K45&lt;&gt;"",E45&lt;&gt;""),IF(B45="SHORT",(E45-K45)/E45*100,(K45-E45)/E45*100),"")</f>
        <v/>
      </c>
      <c r="O45" s="4">
        <f>IF(AND(J45&lt;&gt;"",D45&lt;&gt;""),J45-D45,"")</f>
        <v/>
      </c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>
        <f>IF(AND(K46&lt;&gt;"",E46&lt;&gt;"",F46&lt;&gt;""),IF(B46="SHORT",(E46-K46)*F46,(K46-E46)*F46),"")</f>
        <v/>
      </c>
      <c r="N46" s="4">
        <f>IF(AND(K46&lt;&gt;"",E46&lt;&gt;""),IF(B46="SHORT",(E46-K46)/E46*100,(K46-E46)/E46*100),"")</f>
        <v/>
      </c>
      <c r="O46" s="4">
        <f>IF(AND(J46&lt;&gt;"",D46&lt;&gt;""),J46-D46,"")</f>
        <v/>
      </c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>
        <f>IF(AND(K47&lt;&gt;"",E47&lt;&gt;"",F47&lt;&gt;""),IF(B47="SHORT",(E47-K47)*F47,(K47-E47)*F47),"")</f>
        <v/>
      </c>
      <c r="N47" s="4">
        <f>IF(AND(K47&lt;&gt;"",E47&lt;&gt;""),IF(B47="SHORT",(E47-K47)/E47*100,(K47-E47)/E47*100),"")</f>
        <v/>
      </c>
      <c r="O47" s="4">
        <f>IF(AND(J47&lt;&gt;"",D47&lt;&gt;""),J47-D47,"")</f>
        <v/>
      </c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>
        <f>IF(AND(K48&lt;&gt;"",E48&lt;&gt;"",F48&lt;&gt;""),IF(B48="SHORT",(E48-K48)*F48,(K48-E48)*F48),"")</f>
        <v/>
      </c>
      <c r="N48" s="4">
        <f>IF(AND(K48&lt;&gt;"",E48&lt;&gt;""),IF(B48="SHORT",(E48-K48)/E48*100,(K48-E48)/E48*100),"")</f>
        <v/>
      </c>
      <c r="O48" s="4">
        <f>IF(AND(J48&lt;&gt;"",D48&lt;&gt;""),J48-D48,"")</f>
        <v/>
      </c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>
        <f>IF(AND(K49&lt;&gt;"",E49&lt;&gt;"",F49&lt;&gt;""),IF(B49="SHORT",(E49-K49)*F49,(K49-E49)*F49),"")</f>
        <v/>
      </c>
      <c r="N49" s="4">
        <f>IF(AND(K49&lt;&gt;"",E49&lt;&gt;""),IF(B49="SHORT",(E49-K49)/E49*100,(K49-E49)/E49*100),"")</f>
        <v/>
      </c>
      <c r="O49" s="4">
        <f>IF(AND(J49&lt;&gt;"",D49&lt;&gt;""),J49-D49,"")</f>
        <v/>
      </c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>
        <f>IF(AND(K50&lt;&gt;"",E50&lt;&gt;"",F50&lt;&gt;""),IF(B50="SHORT",(E50-K50)*F50,(K50-E50)*F50),"")</f>
        <v/>
      </c>
      <c r="N50" s="4">
        <f>IF(AND(K50&lt;&gt;"",E50&lt;&gt;""),IF(B50="SHORT",(E50-K50)/E50*100,(K50-E50)/E50*100),"")</f>
        <v/>
      </c>
      <c r="O50" s="4">
        <f>IF(AND(J50&lt;&gt;"",D50&lt;&gt;""),J50-D50,"")</f>
        <v/>
      </c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>
        <f>IF(AND(K51&lt;&gt;"",E51&lt;&gt;"",F51&lt;&gt;""),IF(B51="SHORT",(E51-K51)*F51,(K51-E51)*F51),"")</f>
        <v/>
      </c>
      <c r="N51" s="4">
        <f>IF(AND(K51&lt;&gt;"",E51&lt;&gt;""),IF(B51="SHORT",(E51-K51)/E51*100,(K51-E51)/E51*100),"")</f>
        <v/>
      </c>
      <c r="O51" s="4">
        <f>IF(AND(J51&lt;&gt;"",D51&lt;&gt;""),J51-D51,"")</f>
        <v/>
      </c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>
        <f>IF(AND(K52&lt;&gt;"",E52&lt;&gt;"",F52&lt;&gt;""),IF(B52="SHORT",(E52-K52)*F52,(K52-E52)*F52),"")</f>
        <v/>
      </c>
      <c r="N52" s="4">
        <f>IF(AND(K52&lt;&gt;"",E52&lt;&gt;""),IF(B52="SHORT",(E52-K52)/E52*100,(K52-E52)/E52*100),"")</f>
        <v/>
      </c>
      <c r="O52" s="4">
        <f>IF(AND(J52&lt;&gt;"",D52&lt;&gt;""),J52-D52,"")</f>
        <v/>
      </c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>
        <f>IF(AND(K53&lt;&gt;"",E53&lt;&gt;"",F53&lt;&gt;""),IF(B53="SHORT",(E53-K53)*F53,(K53-E53)*F53),"")</f>
        <v/>
      </c>
      <c r="N53" s="4">
        <f>IF(AND(K53&lt;&gt;"",E53&lt;&gt;""),IF(B53="SHORT",(E53-K53)/E53*100,(K53-E53)/E53*100),"")</f>
        <v/>
      </c>
      <c r="O53" s="4">
        <f>IF(AND(J53&lt;&gt;"",D53&lt;&gt;""),J53-D53,"")</f>
        <v/>
      </c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>
        <f>IF(AND(K54&lt;&gt;"",E54&lt;&gt;"",F54&lt;&gt;""),IF(B54="SHORT",(E54-K54)*F54,(K54-E54)*F54),"")</f>
        <v/>
      </c>
      <c r="N54" s="4">
        <f>IF(AND(K54&lt;&gt;"",E54&lt;&gt;""),IF(B54="SHORT",(E54-K54)/E54*100,(K54-E54)/E54*100),"")</f>
        <v/>
      </c>
      <c r="O54" s="4">
        <f>IF(AND(J54&lt;&gt;"",D54&lt;&gt;""),J54-D54,"")</f>
        <v/>
      </c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>
        <f>IF(AND(K55&lt;&gt;"",E55&lt;&gt;"",F55&lt;&gt;""),IF(B55="SHORT",(E55-K55)*F55,(K55-E55)*F55),"")</f>
        <v/>
      </c>
      <c r="N55" s="4">
        <f>IF(AND(K55&lt;&gt;"",E55&lt;&gt;""),IF(B55="SHORT",(E55-K55)/E55*100,(K55-E55)/E55*100),"")</f>
        <v/>
      </c>
      <c r="O55" s="4">
        <f>IF(AND(J55&lt;&gt;"",D55&lt;&gt;""),J55-D55,"")</f>
        <v/>
      </c>
      <c r="P55" s="4" t="n"/>
    </row>
    <row r="58">
      <c r="A58" s="18" t="inlineStr">
        <is>
          <t>SUMMARY STATS</t>
        </is>
      </c>
    </row>
    <row r="59">
      <c r="A59" t="inlineStr">
        <is>
          <t>Total Trades:</t>
        </is>
      </c>
      <c r="B59">
        <f>COUNTA(A6:A55)</f>
        <v/>
      </c>
    </row>
    <row r="60">
      <c r="A60" t="inlineStr">
        <is>
          <t>Long Trades:</t>
        </is>
      </c>
      <c r="B60">
        <f>COUNTIF(B6:B55,"LONG")</f>
        <v/>
      </c>
    </row>
    <row r="61">
      <c r="A61" s="19" t="inlineStr">
        <is>
          <t>Short Trades:</t>
        </is>
      </c>
      <c r="B61">
        <f>COUNTIF(B6:B55,"SHORT")</f>
        <v/>
      </c>
    </row>
    <row r="62">
      <c r="A62" t="inlineStr">
        <is>
          <t>Winning Trades:</t>
        </is>
      </c>
      <c r="B62">
        <f>COUNTIF(M6:M55,"&gt;0")</f>
        <v/>
      </c>
    </row>
    <row r="63">
      <c r="A63" t="inlineStr">
        <is>
          <t>Losing Trades:</t>
        </is>
      </c>
      <c r="B63">
        <f>COUNTIF(M6:M55,"&lt;0")</f>
        <v/>
      </c>
    </row>
    <row r="64">
      <c r="A64" t="inlineStr">
        <is>
          <t>Win Rate:</t>
        </is>
      </c>
      <c r="B64">
        <f>IF(B59&gt;0,B62/B59*100,0)</f>
        <v/>
      </c>
      <c r="C64" t="inlineStr">
        <is>
          <t>%</t>
        </is>
      </c>
    </row>
    <row r="65">
      <c r="A65" t="inlineStr">
        <is>
          <t>Total P&amp;L:</t>
        </is>
      </c>
      <c r="B65">
        <f>SUM(M6:M55)</f>
        <v/>
      </c>
    </row>
    <row r="66">
      <c r="A66" t="inlineStr">
        <is>
          <t>Avg Hold Days:</t>
        </is>
      </c>
      <c r="B66">
        <f>IF(COUNTA(O6:O55)&gt;0,AVERAGE(O6:O55),0)</f>
        <v/>
      </c>
    </row>
    <row r="67">
      <c r="A67" t="inlineStr">
        <is>
          <t>Avg Win %:</t>
        </is>
      </c>
      <c r="B67">
        <f>IF(B62&gt;0,AVERAGEIF(N6:N55,"&gt;0"),0)</f>
        <v/>
      </c>
    </row>
    <row r="68">
      <c r="A68" t="inlineStr">
        <is>
          <t>Avg Loss %:</t>
        </is>
      </c>
      <c r="B68">
        <f>IF(B63&gt;0,AVERAGEIF(N6:N55,"&lt;0"),0)</f>
        <v/>
      </c>
    </row>
  </sheetData>
  <mergeCells count="3">
    <mergeCell ref="A1:P1"/>
    <mergeCell ref="A3:P3"/>
    <mergeCell ref="A2:P2"/>
  </mergeCells>
  <conditionalFormatting sqref="M6:M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N6:N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6:B55">
    <cfRule type="cellIs" priority="5" operator="equal" dxfId="2">
      <formula>"SHORT"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SPY Price</t>
        </is>
      </c>
      <c r="C1" s="9" t="inlineStr">
        <is>
          <t>SPY RSI</t>
        </is>
      </c>
      <c r="D1" s="9" t="inlineStr">
        <is>
          <t>Bullish</t>
        </is>
      </c>
      <c r="E1" s="9" t="inlineStr">
        <is>
          <t>Bearish</t>
        </is>
      </c>
      <c r="F1" s="9" t="inlineStr">
        <is>
          <t>Neutral</t>
        </is>
      </c>
      <c r="G1" s="9" t="inlineStr">
        <is>
          <t>Top Setup</t>
        </is>
      </c>
    </row>
    <row r="2">
      <c r="A2" s="4" t="inlineStr">
        <is>
          <t>2026-01-27</t>
        </is>
      </c>
      <c r="B2" s="4" t="n">
        <v>686.969970703125</v>
      </c>
      <c r="C2" s="4" t="n">
        <v>43.6161776367962</v>
      </c>
      <c r="D2" s="4" t="n">
        <v>11</v>
      </c>
      <c r="E2" s="4" t="n">
        <v>30</v>
      </c>
      <c r="F2" s="4" t="n">
        <v>9</v>
      </c>
      <c r="G2" s="4" t="inlineStr">
        <is>
          <t>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2026-02-03T18:21:47Z</dcterms:created>
  <dcterms:modified xsi:type="dcterms:W3CDTF">2026-02-03T18:21:47Z</dcterms:modified>
</cp:coreProperties>
</file>