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creening Results" sheetId="2" state="visible" r:id="rId2"/>
    <sheet name="Bullish Setups" sheetId="3" state="visible" r:id="rId3"/>
    <sheet name="Position Sizes" sheetId="4" state="visible" r:id="rId4"/>
    <sheet name="Sector Performance" sheetId="5" state="visible" r:id="rId5"/>
    <sheet name="Decision Helper" sheetId="6" state="visible" r:id="rId6"/>
    <sheet name="Trade Journal" sheetId="7" state="visible" r:id="rId7"/>
    <sheet name="Daily Log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  <font>
      <b val="1"/>
      <color rgb="002E7D32"/>
      <sz val="12"/>
    </font>
    <font>
      <b val="1"/>
      <color rgb="00FFFFFF"/>
      <sz val="12"/>
    </font>
    <font>
      <i val="1"/>
      <color rgb="00666666"/>
    </font>
    <font>
      <i val="1"/>
      <color rgb="009C27B0"/>
    </font>
    <font>
      <b val="1"/>
      <sz val="12"/>
    </font>
  </fonts>
  <fills count="10">
    <fill>
      <patternFill/>
    </fill>
    <fill>
      <patternFill patternType="gray125"/>
    </fill>
    <fill>
      <patternFill patternType="solid">
        <fgColor rgb="002E86AB"/>
        <bgColor rgb="002E86AB"/>
      </patternFill>
    </fill>
    <fill>
      <patternFill patternType="solid">
        <fgColor rgb="0086BA90"/>
        <bgColor rgb="0086BA90"/>
      </patternFill>
    </fill>
    <fill>
      <patternFill patternType="solid">
        <fgColor rgb="00A8DADC"/>
        <bgColor rgb="00A8DADC"/>
      </patternFill>
    </fill>
    <fill>
      <patternFill patternType="solid">
        <fgColor rgb="00E63946"/>
        <bgColor rgb="00E63946"/>
      </patternFill>
    </fill>
    <fill>
      <patternFill patternType="solid">
        <fgColor rgb="009C27B0"/>
        <bgColor rgb="009C27B0"/>
      </patternFill>
    </fill>
    <fill>
      <patternFill patternType="solid">
        <fgColor rgb="002E7D32"/>
        <bgColor rgb="002E7D32"/>
      </patternFill>
    </fill>
    <fill>
      <patternFill patternType="solid">
        <fgColor rgb="00F9A825"/>
        <bgColor rgb="00F9A825"/>
      </patternFill>
    </fill>
    <fill>
      <patternFill patternType="solid">
        <fgColor rgb="00E1BEE7"/>
        <bgColor rgb="00E1BEE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3" fillId="3" borderId="1" pivotButton="0" quotePrefix="0" xfId="0"/>
    <xf numFmtId="0" fontId="3" fillId="2" borderId="1" pivotButton="0" quotePrefix="0" xfId="0"/>
    <xf numFmtId="0" fontId="3" fillId="6" borderId="0" pivotButton="0" quotePrefix="0" xfId="0"/>
    <xf numFmtId="0" fontId="4" fillId="0" borderId="0" pivotButton="0" quotePrefix="0" xfId="0"/>
    <xf numFmtId="0" fontId="3" fillId="7" borderId="1" pivotButton="0" quotePrefix="0" xfId="0"/>
    <xf numFmtId="0" fontId="0" fillId="8" borderId="1" pivotButton="0" quotePrefix="0" xfId="0"/>
    <xf numFmtId="0" fontId="5" fillId="6" borderId="0" pivotButton="0" quotePrefix="0" xfId="0"/>
    <xf numFmtId="0" fontId="3" fillId="6" borderId="1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0" fillId="9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C7CE"/>
          <bgColor rgb="00FFC7CE"/>
        </patternFill>
      </fill>
    </dxf>
    <dxf>
      <fill>
        <patternFill patternType="solid">
          <fgColor rgb="00E1BEE7"/>
          <bgColor rgb="00E1BE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</cols>
  <sheetData>
    <row r="1">
      <c r="A1" s="1" t="inlineStr">
        <is>
          <t>ASTRYX INVESTING - DAILY MARKET EVALUATION</t>
        </is>
      </c>
    </row>
    <row r="2">
      <c r="A2" t="inlineStr"/>
    </row>
    <row r="3">
      <c r="A3" t="inlineStr">
        <is>
          <t>Run Date:</t>
        </is>
      </c>
      <c r="B3" t="inlineStr">
        <is>
          <t>2026-02-03 11:44:36</t>
        </is>
      </c>
    </row>
    <row r="4">
      <c r="A4" t="inlineStr">
        <is>
          <t>Stocks Scanned:</t>
        </is>
      </c>
      <c r="B4" t="n">
        <v>50</v>
      </c>
    </row>
    <row r="5">
      <c r="A5" t="inlineStr"/>
    </row>
    <row r="6">
      <c r="A6" s="2" t="inlineStr">
        <is>
          <t>MARKET OVERVIEW</t>
        </is>
      </c>
    </row>
    <row r="7">
      <c r="A7" t="inlineStr">
        <is>
          <t>SPY Price:</t>
        </is>
      </c>
      <c r="B7" t="inlineStr">
        <is>
          <t>$686.09</t>
        </is>
      </c>
    </row>
    <row r="8">
      <c r="A8" t="inlineStr">
        <is>
          <t>SPY RSI:</t>
        </is>
      </c>
      <c r="B8" t="inlineStr">
        <is>
          <t>42.9</t>
        </is>
      </c>
    </row>
    <row r="9">
      <c r="A9" t="inlineStr"/>
    </row>
    <row r="10">
      <c r="A10" s="2" t="inlineStr">
        <is>
          <t>SIGNAL BREAKDOWN</t>
        </is>
      </c>
    </row>
    <row r="11">
      <c r="A11" t="inlineStr">
        <is>
          <t>Bullish Setups:</t>
        </is>
      </c>
      <c r="B11" t="n">
        <v>13</v>
      </c>
    </row>
    <row r="12">
      <c r="A12" t="inlineStr">
        <is>
          <t>Bearish Setups:</t>
        </is>
      </c>
      <c r="B12" t="n">
        <v>27</v>
      </c>
    </row>
    <row r="13">
      <c r="A13" t="inlineStr">
        <is>
          <t>Neutral:</t>
        </is>
      </c>
      <c r="B13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6" customWidth="1" min="4" max="4"/>
    <col width="13" customWidth="1" min="5" max="5"/>
    <col width="13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4" customWidth="1" min="12" max="12"/>
    <col width="12" customWidth="1" min="13" max="13"/>
  </cols>
  <sheetData>
    <row r="1">
      <c r="A1" s="3" t="inlineStr">
        <is>
          <t>Ticker</t>
        </is>
      </c>
      <c r="B1" s="3" t="inlineStr">
        <is>
          <t>Signal</t>
        </is>
      </c>
      <c r="C1" s="3" t="inlineStr">
        <is>
          <t>Bullish_Setups</t>
        </is>
      </c>
      <c r="D1" s="3" t="inlineStr">
        <is>
          <t>Bearish_Setups</t>
        </is>
      </c>
      <c r="E1" s="3" t="inlineStr">
        <is>
          <t>Num_Bullish</t>
        </is>
      </c>
      <c r="F1" s="3" t="inlineStr">
        <is>
          <t>Num_Bearish</t>
        </is>
      </c>
      <c r="G1" s="3" t="inlineStr">
        <is>
          <t>Price</t>
        </is>
      </c>
      <c r="H1" s="3" t="inlineStr">
        <is>
          <t>RSI</t>
        </is>
      </c>
      <c r="I1" s="3" t="inlineStr">
        <is>
          <t>MACD_Hist</t>
        </is>
      </c>
      <c r="J1" s="3" t="inlineStr">
        <is>
          <t>Vol_Ratio</t>
        </is>
      </c>
      <c r="K1" s="3" t="inlineStr">
        <is>
          <t>RS_vs_SPY</t>
        </is>
      </c>
      <c r="L1" s="3" t="inlineStr">
        <is>
          <t>Dist_200_SMA</t>
        </is>
      </c>
      <c r="M1" s="3" t="inlineStr">
        <is>
          <t>ATR_Pct</t>
        </is>
      </c>
    </row>
    <row r="2">
      <c r="A2" s="4" t="inlineStr">
        <is>
          <t>HD</t>
        </is>
      </c>
      <c r="B2" s="5" t="inlineStr">
        <is>
          <t>BULLISH</t>
        </is>
      </c>
      <c r="C2" s="4" t="inlineStr">
        <is>
          <t>PULLBACK_SUPPORT, RS_LEADER</t>
        </is>
      </c>
      <c r="D2" s="4" t="inlineStr"/>
      <c r="E2" s="4" t="n">
        <v>2</v>
      </c>
      <c r="F2" s="4" t="n">
        <v>0</v>
      </c>
      <c r="G2" s="4" t="n">
        <v>381.4100036621094</v>
      </c>
      <c r="H2" s="4" t="n">
        <v>51.49028345968639</v>
      </c>
      <c r="I2" s="4" t="n">
        <v>-0.5586394457857118</v>
      </c>
      <c r="J2" s="4" t="n">
        <v>0.7692864863983027</v>
      </c>
      <c r="K2" s="4" t="n">
        <v>11.08275137146757</v>
      </c>
      <c r="L2" s="4" t="n">
        <v>2.632689454600809</v>
      </c>
      <c r="M2" s="4" t="n">
        <v>2.120329101581286</v>
      </c>
    </row>
    <row r="3">
      <c r="A3" s="4" t="inlineStr">
        <is>
          <t>MRK</t>
        </is>
      </c>
      <c r="B3" s="5" t="inlineStr">
        <is>
          <t>BULLISH</t>
        </is>
      </c>
      <c r="C3" s="4" t="inlineStr">
        <is>
          <t>VOLUME_ACCUMULATION, RS_LEADER</t>
        </is>
      </c>
      <c r="D3" s="4" t="inlineStr"/>
      <c r="E3" s="4" t="n">
        <v>2</v>
      </c>
      <c r="F3" s="4" t="n">
        <v>0</v>
      </c>
      <c r="G3" s="4" t="n">
        <v>116.375</v>
      </c>
      <c r="H3" s="4" t="n">
        <v>68.49783813432958</v>
      </c>
      <c r="I3" s="4" t="n">
        <v>0.191517748735748</v>
      </c>
      <c r="J3" s="4" t="n">
        <v>1.244078418277603</v>
      </c>
      <c r="K3" s="4" t="n">
        <v>8.553016618803632</v>
      </c>
      <c r="L3" s="4" t="n">
        <v>33.66286281604111</v>
      </c>
      <c r="M3" s="4" t="n">
        <v>2.512813730255965</v>
      </c>
    </row>
    <row r="4">
      <c r="A4" s="4" t="inlineStr">
        <is>
          <t>PM</t>
        </is>
      </c>
      <c r="B4" s="5" t="inlineStr">
        <is>
          <t>BULLISH</t>
        </is>
      </c>
      <c r="C4" s="4" t="inlineStr">
        <is>
          <t>RS_LEADER, GOLDEN_CROSS</t>
        </is>
      </c>
      <c r="D4" s="4" t="inlineStr"/>
      <c r="E4" s="4" t="n">
        <v>2</v>
      </c>
      <c r="F4" s="4" t="n">
        <v>0</v>
      </c>
      <c r="G4" s="4" t="n">
        <v>178.8249969482422</v>
      </c>
      <c r="H4" s="4" t="n">
        <v>71.57821920165088</v>
      </c>
      <c r="I4" s="4" t="n">
        <v>0.5309270726097788</v>
      </c>
      <c r="J4" s="4" t="n">
        <v>0.9713449574863637</v>
      </c>
      <c r="K4" s="4" t="n">
        <v>12.100252765582</v>
      </c>
      <c r="L4" s="4" t="n">
        <v>9.403884054904484</v>
      </c>
      <c r="M4" s="4" t="n">
        <v>2.372133929695168</v>
      </c>
    </row>
    <row r="5">
      <c r="A5" s="4" t="inlineStr">
        <is>
          <t>BMY</t>
        </is>
      </c>
      <c r="B5" s="5" t="inlineStr">
        <is>
          <t>BULLISH</t>
        </is>
      </c>
      <c r="C5" s="4" t="inlineStr">
        <is>
          <t>PULLBACK_SUPPORT, RS_LEADER</t>
        </is>
      </c>
      <c r="D5" s="4" t="inlineStr"/>
      <c r="E5" s="4" t="n">
        <v>2</v>
      </c>
      <c r="F5" s="4" t="n">
        <v>0</v>
      </c>
      <c r="G5" s="4" t="n">
        <v>56.34999847412109</v>
      </c>
      <c r="H5" s="4" t="n">
        <v>52.31931017795328</v>
      </c>
      <c r="I5" s="4" t="n">
        <v>-0.1143645074556467</v>
      </c>
      <c r="J5" s="4" t="n">
        <v>0.5511928932908211</v>
      </c>
      <c r="K5" s="4" t="n">
        <v>6.437271614386852</v>
      </c>
      <c r="L5" s="4" t="n">
        <v>18.93356748329396</v>
      </c>
      <c r="M5" s="4" t="n">
        <v>2.078843726108578</v>
      </c>
    </row>
    <row r="6">
      <c r="A6" s="4" t="inlineStr">
        <is>
          <t>GOOGL</t>
        </is>
      </c>
      <c r="B6" s="5" t="inlineStr">
        <is>
          <t>BULLISH</t>
        </is>
      </c>
      <c r="C6" s="4" t="inlineStr">
        <is>
          <t>RS_LEADER</t>
        </is>
      </c>
      <c r="D6" s="4" t="inlineStr"/>
      <c r="E6" s="4" t="n">
        <v>1</v>
      </c>
      <c r="F6" s="4" t="n">
        <v>0</v>
      </c>
      <c r="G6" s="4" t="n">
        <v>338.4299926757812</v>
      </c>
      <c r="H6" s="4" t="n">
        <v>52.63720955492406</v>
      </c>
      <c r="I6" s="4" t="n">
        <v>0.2463672524198035</v>
      </c>
      <c r="J6" s="4" t="n">
        <v>0.7247698517436415</v>
      </c>
      <c r="K6" s="4" t="n">
        <v>7.152142072378997</v>
      </c>
      <c r="L6" s="4" t="n">
        <v>43.35313870747436</v>
      </c>
      <c r="M6" s="4" t="n">
        <v>2.510024190070872</v>
      </c>
    </row>
    <row r="7">
      <c r="A7" s="4" t="inlineStr">
        <is>
          <t>AMZN</t>
        </is>
      </c>
      <c r="B7" s="5" t="inlineStr">
        <is>
          <t>BULLISH</t>
        </is>
      </c>
      <c r="C7" s="4" t="inlineStr">
        <is>
          <t>PULLBACK_SUPPORT</t>
        </is>
      </c>
      <c r="D7" s="4" t="inlineStr"/>
      <c r="E7" s="4" t="n">
        <v>1</v>
      </c>
      <c r="F7" s="4" t="n">
        <v>0</v>
      </c>
      <c r="G7" s="4" t="n">
        <v>236.5800018310547</v>
      </c>
      <c r="H7" s="4" t="n">
        <v>43.61205120242275</v>
      </c>
      <c r="I7" s="4" t="n">
        <v>-0.2311677590021664</v>
      </c>
      <c r="J7" s="4" t="n">
        <v>0.8795932944940223</v>
      </c>
      <c r="K7" s="4" t="n">
        <v>1.747092068154532</v>
      </c>
      <c r="L7" s="4" t="n">
        <v>6.369801934698671</v>
      </c>
      <c r="M7" s="4" t="n">
        <v>2.610413309405544</v>
      </c>
    </row>
    <row r="8">
      <c r="A8" s="4" t="inlineStr">
        <is>
          <t>COST</t>
        </is>
      </c>
      <c r="B8" s="5" t="inlineStr">
        <is>
          <t>BULLISH</t>
        </is>
      </c>
      <c r="C8" s="4" t="inlineStr">
        <is>
          <t>RS_LEADER</t>
        </is>
      </c>
      <c r="D8" s="4" t="inlineStr"/>
      <c r="E8" s="4" t="n">
        <v>1</v>
      </c>
      <c r="F8" s="4" t="n">
        <v>0</v>
      </c>
      <c r="G8" s="4" t="n">
        <v>977.030029296875</v>
      </c>
      <c r="H8" s="4" t="n">
        <v>63.67203303301375</v>
      </c>
      <c r="I8" s="4" t="n">
        <v>-0.9444873770398772</v>
      </c>
      <c r="J8" s="4" t="n">
        <v>0.7294681994872219</v>
      </c>
      <c r="K8" s="4" t="n">
        <v>11.95538901415318</v>
      </c>
      <c r="L8" s="4" t="n">
        <v>2.993011400006359</v>
      </c>
      <c r="M8" s="4" t="n">
        <v>1.886408106407834</v>
      </c>
    </row>
    <row r="9">
      <c r="A9" s="4" t="inlineStr">
        <is>
          <t>MCD</t>
        </is>
      </c>
      <c r="B9" s="5" t="inlineStr">
        <is>
          <t>BULLISH</t>
        </is>
      </c>
      <c r="C9" s="4" t="inlineStr">
        <is>
          <t>RS_LEADER</t>
        </is>
      </c>
      <c r="D9" s="4" t="inlineStr"/>
      <c r="E9" s="4" t="n">
        <v>1</v>
      </c>
      <c r="F9" s="4" t="n">
        <v>0</v>
      </c>
      <c r="G9" s="4" t="n">
        <v>320.0698852539062</v>
      </c>
      <c r="H9" s="4" t="n">
        <v>68.6555093523916</v>
      </c>
      <c r="I9" s="4" t="n">
        <v>1.35111101390599</v>
      </c>
      <c r="J9" s="4" t="n">
        <v>0.7520859067212085</v>
      </c>
      <c r="K9" s="4" t="n">
        <v>6.97652839433538</v>
      </c>
      <c r="L9" s="4" t="n">
        <v>5.292162135097707</v>
      </c>
      <c r="M9" s="4" t="n">
        <v>1.398354045113929</v>
      </c>
    </row>
    <row r="10">
      <c r="A10" s="4" t="inlineStr">
        <is>
          <t>PFE</t>
        </is>
      </c>
      <c r="B10" s="5" t="inlineStr">
        <is>
          <t>BULLISH</t>
        </is>
      </c>
      <c r="C10" s="4" t="inlineStr">
        <is>
          <t>VOLUME_ACCUMULATION</t>
        </is>
      </c>
      <c r="D10" s="4" t="inlineStr"/>
      <c r="E10" s="4" t="n">
        <v>1</v>
      </c>
      <c r="F10" s="4" t="n">
        <v>0</v>
      </c>
      <c r="G10" s="4" t="n">
        <v>25.84499931335449</v>
      </c>
      <c r="H10" s="4" t="n">
        <v>61.58671760202212</v>
      </c>
      <c r="I10" s="4" t="n">
        <v>0.07468981684112497</v>
      </c>
      <c r="J10" s="4" t="n">
        <v>1.364531693919749</v>
      </c>
      <c r="K10" s="4" t="n">
        <v>4.638541733031221</v>
      </c>
      <c r="L10" s="4" t="n">
        <v>8.520016036575766</v>
      </c>
      <c r="M10" s="4" t="n">
        <v>2.215758281183497</v>
      </c>
    </row>
    <row r="11">
      <c r="A11" s="4" t="inlineStr">
        <is>
          <t>CMCSA</t>
        </is>
      </c>
      <c r="B11" s="5" t="inlineStr">
        <is>
          <t>BULLISH</t>
        </is>
      </c>
      <c r="C11" s="4" t="inlineStr">
        <is>
          <t>RS_LEADER</t>
        </is>
      </c>
      <c r="D11" s="4" t="inlineStr"/>
      <c r="E11" s="4" t="n">
        <v>1</v>
      </c>
      <c r="F11" s="4" t="n">
        <v>0</v>
      </c>
      <c r="G11" s="4" t="n">
        <v>29.79439926147461</v>
      </c>
      <c r="H11" s="4" t="n">
        <v>65.79816426342398</v>
      </c>
      <c r="I11" s="4" t="n">
        <v>0.04637180881453595</v>
      </c>
      <c r="J11" s="4" t="n">
        <v>0.6498463595607358</v>
      </c>
      <c r="K11" s="4" t="n">
        <v>7.395219959506627</v>
      </c>
      <c r="L11" s="4" t="n">
        <v>1.724993892817818</v>
      </c>
      <c r="M11" s="4" t="n">
        <v>2.731817470065322</v>
      </c>
    </row>
    <row r="12">
      <c r="A12" s="4" t="inlineStr">
        <is>
          <t>INTC</t>
        </is>
      </c>
      <c r="B12" s="5" t="inlineStr">
        <is>
          <t>BULLISH</t>
        </is>
      </c>
      <c r="C12" s="4" t="inlineStr">
        <is>
          <t>RS_LEADER</t>
        </is>
      </c>
      <c r="D12" s="4" t="inlineStr"/>
      <c r="E12" s="4" t="n">
        <v>1</v>
      </c>
      <c r="F12" s="4" t="n">
        <v>0</v>
      </c>
      <c r="G12" s="4" t="n">
        <v>49.04000091552734</v>
      </c>
      <c r="H12" s="4" t="n">
        <v>52.60804804586279</v>
      </c>
      <c r="I12" s="4" t="n">
        <v>-0.1685646372209897</v>
      </c>
      <c r="J12" s="4" t="n">
        <v>0.5942016010213714</v>
      </c>
      <c r="K12" s="4" t="n">
        <v>24.79860436285673</v>
      </c>
      <c r="L12" s="4" t="n">
        <v>62.89382636689517</v>
      </c>
      <c r="M12" s="4" t="n">
        <v>7.469119988428781</v>
      </c>
    </row>
    <row r="13">
      <c r="A13" s="4" t="inlineStr">
        <is>
          <t>RTX</t>
        </is>
      </c>
      <c r="B13" s="5" t="inlineStr">
        <is>
          <t>BULLISH</t>
        </is>
      </c>
      <c r="C13" s="4" t="inlineStr">
        <is>
          <t>RS_LEADER</t>
        </is>
      </c>
      <c r="D13" s="4" t="inlineStr"/>
      <c r="E13" s="4" t="n">
        <v>1</v>
      </c>
      <c r="F13" s="4" t="n">
        <v>0</v>
      </c>
      <c r="G13" s="4" t="n">
        <v>202.9400024414062</v>
      </c>
      <c r="H13" s="4" t="n">
        <v>64.5915832315996</v>
      </c>
      <c r="I13" s="4" t="n">
        <v>-0.04210949396601915</v>
      </c>
      <c r="J13" s="4" t="n">
        <v>0.7543948493491434</v>
      </c>
      <c r="K13" s="4" t="n">
        <v>8.034480524933407</v>
      </c>
      <c r="L13" s="4" t="n">
        <v>27.09610650859674</v>
      </c>
      <c r="M13" s="4" t="n">
        <v>2.180446215116162</v>
      </c>
    </row>
    <row r="14">
      <c r="A14" s="4" t="inlineStr">
        <is>
          <t>COP</t>
        </is>
      </c>
      <c r="B14" s="5" t="inlineStr">
        <is>
          <t>BULLISH</t>
        </is>
      </c>
      <c r="C14" s="4" t="inlineStr">
        <is>
          <t>RS_LEADER</t>
        </is>
      </c>
      <c r="D14" s="4" t="inlineStr"/>
      <c r="E14" s="4" t="n">
        <v>1</v>
      </c>
      <c r="F14" s="4" t="n">
        <v>0</v>
      </c>
      <c r="G14" s="4" t="n">
        <v>104.3399963378906</v>
      </c>
      <c r="H14" s="4" t="n">
        <v>67.17522622940788</v>
      </c>
      <c r="I14" s="4" t="n">
        <v>0.456614670915404</v>
      </c>
      <c r="J14" s="4" t="n">
        <v>0.6443497998547114</v>
      </c>
      <c r="K14" s="4" t="n">
        <v>5.418200691358699</v>
      </c>
      <c r="L14" s="4" t="n">
        <v>13.98062460847255</v>
      </c>
      <c r="M14" s="4" t="n">
        <v>2.643144276683693</v>
      </c>
    </row>
    <row r="15">
      <c r="A15" s="4" t="inlineStr">
        <is>
          <t>AAPL</t>
        </is>
      </c>
      <c r="B15" s="6" t="inlineStr">
        <is>
          <t>NEUTRAL</t>
        </is>
      </c>
      <c r="C15" s="4" t="inlineStr"/>
      <c r="D15" s="4" t="inlineStr"/>
      <c r="E15" s="4" t="n">
        <v>0</v>
      </c>
      <c r="F15" s="4" t="n">
        <v>0</v>
      </c>
      <c r="G15" s="4" t="n">
        <v>270.8999938964844</v>
      </c>
      <c r="H15" s="4" t="n">
        <v>61.49896006492558</v>
      </c>
      <c r="I15" s="4" t="n">
        <v>2.385014254927134</v>
      </c>
      <c r="J15" s="4" t="n">
        <v>0.7438115283966171</v>
      </c>
      <c r="K15" s="4" t="n">
        <v>1.59871316444733</v>
      </c>
      <c r="L15" s="4" t="n">
        <v>14.25181638194482</v>
      </c>
      <c r="M15" s="4" t="n">
        <v>2.361310736366823</v>
      </c>
    </row>
    <row r="16">
      <c r="A16" s="4" t="inlineStr">
        <is>
          <t>NVDA</t>
        </is>
      </c>
      <c r="B16" s="6" t="inlineStr">
        <is>
          <t>NEUTRAL</t>
        </is>
      </c>
      <c r="C16" s="4" t="inlineStr"/>
      <c r="D16" s="4" t="inlineStr"/>
      <c r="E16" s="4" t="n">
        <v>0</v>
      </c>
      <c r="F16" s="4" t="n">
        <v>0</v>
      </c>
      <c r="G16" s="4" t="n">
        <v>177.0099945068359</v>
      </c>
      <c r="H16" s="4" t="n">
        <v>40.81418895995856</v>
      </c>
      <c r="I16" s="4" t="n">
        <v>-0.4897416453657151</v>
      </c>
      <c r="J16" s="4" t="n">
        <v>0.89490815232689</v>
      </c>
      <c r="K16" s="4" t="n">
        <v>-5.669055748852781</v>
      </c>
      <c r="L16" s="4" t="n">
        <v>5.067249672719805</v>
      </c>
      <c r="M16" s="4" t="n">
        <v>3.174961669536959</v>
      </c>
    </row>
    <row r="17">
      <c r="A17" s="4" t="inlineStr">
        <is>
          <t>META</t>
        </is>
      </c>
      <c r="B17" s="6" t="inlineStr">
        <is>
          <t>NEUTRAL</t>
        </is>
      </c>
      <c r="C17" s="4" t="inlineStr"/>
      <c r="D17" s="4" t="inlineStr"/>
      <c r="E17" s="4" t="n">
        <v>0</v>
      </c>
      <c r="F17" s="4" t="n">
        <v>0</v>
      </c>
      <c r="G17" s="4" t="n">
        <v>687.2999877929688</v>
      </c>
      <c r="H17" s="4" t="n">
        <v>62.15560971283035</v>
      </c>
      <c r="I17" s="4" t="n">
        <v>7.633416386359469</v>
      </c>
      <c r="J17" s="4" t="n">
        <v>0.5244118742010722</v>
      </c>
      <c r="K17" s="4" t="n">
        <v>4.564382120816157</v>
      </c>
      <c r="L17" s="4" t="n">
        <v>0.711124356049301</v>
      </c>
      <c r="M17" s="4" t="n">
        <v>3.449523496087114</v>
      </c>
    </row>
    <row r="18">
      <c r="A18" s="4" t="inlineStr">
        <is>
          <t>JPM</t>
        </is>
      </c>
      <c r="B18" s="6" t="inlineStr">
        <is>
          <t>NEUTRAL</t>
        </is>
      </c>
      <c r="C18" s="4" t="inlineStr"/>
      <c r="D18" s="4" t="inlineStr"/>
      <c r="E18" s="4" t="n">
        <v>0</v>
      </c>
      <c r="F18" s="4" t="n">
        <v>0</v>
      </c>
      <c r="G18" s="4" t="n">
        <v>311.5750122070312</v>
      </c>
      <c r="H18" s="4" t="n">
        <v>50.80483827186279</v>
      </c>
      <c r="I18" s="4" t="n">
        <v>0.2024430014174663</v>
      </c>
      <c r="J18" s="4" t="n">
        <v>0.5258606406156016</v>
      </c>
      <c r="K18" s="4" t="n">
        <v>-6.067753923654029</v>
      </c>
      <c r="L18" s="4" t="n">
        <v>6.811156594048938</v>
      </c>
      <c r="M18" s="4" t="n">
        <v>1.980605119814048</v>
      </c>
    </row>
    <row r="19">
      <c r="A19" s="4" t="inlineStr">
        <is>
          <t>V</t>
        </is>
      </c>
      <c r="B19" s="6" t="inlineStr">
        <is>
          <t>NEUTRAL</t>
        </is>
      </c>
      <c r="C19" s="4" t="inlineStr"/>
      <c r="D19" s="4" t="inlineStr"/>
      <c r="E19" s="4" t="n">
        <v>0</v>
      </c>
      <c r="F19" s="4" t="n">
        <v>0</v>
      </c>
      <c r="G19" s="4" t="n">
        <v>330.7950134277344</v>
      </c>
      <c r="H19" s="4" t="n">
        <v>53.26465813353384</v>
      </c>
      <c r="I19" s="4" t="n">
        <v>0.1633092253903099</v>
      </c>
      <c r="J19" s="4" t="n">
        <v>0.677485646443724</v>
      </c>
      <c r="K19" s="4" t="n">
        <v>-6.265504608963168</v>
      </c>
      <c r="L19" s="4" t="n">
        <v>-3.872349298228066</v>
      </c>
      <c r="M19" s="4" t="n">
        <v>1.954815036979135</v>
      </c>
    </row>
    <row r="20">
      <c r="A20" s="4" t="inlineStr">
        <is>
          <t>MA</t>
        </is>
      </c>
      <c r="B20" s="6" t="inlineStr">
        <is>
          <t>NEUTRAL</t>
        </is>
      </c>
      <c r="C20" s="4" t="inlineStr"/>
      <c r="D20" s="4" t="inlineStr"/>
      <c r="E20" s="4" t="n">
        <v>0</v>
      </c>
      <c r="F20" s="4" t="n">
        <v>0</v>
      </c>
      <c r="G20" s="4" t="n">
        <v>554.52001953125</v>
      </c>
      <c r="H20" s="4" t="n">
        <v>55.30920852193593</v>
      </c>
      <c r="I20" s="4" t="n">
        <v>2.029957726208651</v>
      </c>
      <c r="J20" s="4" t="n">
        <v>0.796761228256926</v>
      </c>
      <c r="K20" s="4" t="n">
        <v>-2.087859272507309</v>
      </c>
      <c r="L20" s="4" t="n">
        <v>-1.37369351548743</v>
      </c>
      <c r="M20" s="4" t="n">
        <v>2.026077038602828</v>
      </c>
    </row>
    <row r="21">
      <c r="A21" s="4" t="inlineStr">
        <is>
          <t>ABBV</t>
        </is>
      </c>
      <c r="B21" s="6" t="inlineStr">
        <is>
          <t>NEUTRAL</t>
        </is>
      </c>
      <c r="C21" s="4" t="inlineStr"/>
      <c r="D21" s="4" t="inlineStr"/>
      <c r="E21" s="4" t="n">
        <v>0</v>
      </c>
      <c r="F21" s="4" t="n">
        <v>0</v>
      </c>
      <c r="G21" s="4" t="n">
        <v>227.6199951171875</v>
      </c>
      <c r="H21" s="4" t="n">
        <v>63.78465468733476</v>
      </c>
      <c r="I21" s="4" t="n">
        <v>1.135009070126172</v>
      </c>
      <c r="J21" s="4" t="n">
        <v>0.4792503368748502</v>
      </c>
      <c r="K21" s="4" t="n">
        <v>4.447564478149801</v>
      </c>
      <c r="L21" s="4" t="n">
        <v>10.47445604244027</v>
      </c>
      <c r="M21" s="4" t="n">
        <v>2.350751529049588</v>
      </c>
    </row>
    <row r="22">
      <c r="A22" s="4" t="inlineStr">
        <is>
          <t>BAC</t>
        </is>
      </c>
      <c r="B22" s="6" t="inlineStr">
        <is>
          <t>NEUTRAL</t>
        </is>
      </c>
      <c r="C22" s="4" t="inlineStr"/>
      <c r="D22" s="4" t="inlineStr"/>
      <c r="E22" s="4" t="n">
        <v>0</v>
      </c>
      <c r="F22" s="4" t="n">
        <v>0</v>
      </c>
      <c r="G22" s="4" t="n">
        <v>54.125</v>
      </c>
      <c r="H22" s="4" t="n">
        <v>47.2999281238335</v>
      </c>
      <c r="I22" s="4" t="n">
        <v>0.1293955189329129</v>
      </c>
      <c r="J22" s="4" t="n">
        <v>0.7002175499226826</v>
      </c>
      <c r="K22" s="4" t="n">
        <v>-4.623506080565121</v>
      </c>
      <c r="L22" s="4" t="n">
        <v>10.69039154027583</v>
      </c>
      <c r="M22" s="4" t="n">
        <v>2.071263569095905</v>
      </c>
    </row>
    <row r="23">
      <c r="A23" s="4" t="inlineStr">
        <is>
          <t>WFC</t>
        </is>
      </c>
      <c r="B23" s="6" t="inlineStr">
        <is>
          <t>NEUTRAL</t>
        </is>
      </c>
      <c r="C23" s="4" t="inlineStr"/>
      <c r="D23" s="4" t="inlineStr"/>
      <c r="E23" s="4" t="n">
        <v>0</v>
      </c>
      <c r="F23" s="4" t="n">
        <v>0</v>
      </c>
      <c r="G23" s="4" t="n">
        <v>92.55999755859375</v>
      </c>
      <c r="H23" s="4" t="n">
        <v>47.17514075588778</v>
      </c>
      <c r="I23" s="4" t="n">
        <v>0.2954565362150998</v>
      </c>
      <c r="J23" s="4" t="n">
        <v>0.6106387910073137</v>
      </c>
      <c r="K23" s="4" t="n">
        <v>-3.726728161961401</v>
      </c>
      <c r="L23" s="4" t="n">
        <v>13.23945777053421</v>
      </c>
      <c r="M23" s="4" t="n">
        <v>2.491048837829061</v>
      </c>
    </row>
    <row r="24">
      <c r="A24" s="4" t="inlineStr">
        <is>
          <t>LLY</t>
        </is>
      </c>
      <c r="B24" s="4" t="inlineStr">
        <is>
          <t>CONFLICTING</t>
        </is>
      </c>
      <c r="C24" s="4" t="inlineStr">
        <is>
          <t>OVERSOLD_BOUNCE</t>
        </is>
      </c>
      <c r="D24" s="4" t="inlineStr">
        <is>
          <t>TREND_REVERSAL</t>
        </is>
      </c>
      <c r="E24" s="4" t="n">
        <v>1</v>
      </c>
      <c r="F24" s="4" t="n">
        <v>1</v>
      </c>
      <c r="G24" s="4" t="n">
        <v>1004.484985351562</v>
      </c>
      <c r="H24" s="4" t="n">
        <v>33.63864867537661</v>
      </c>
      <c r="I24" s="4" t="n">
        <v>-6.709895268872754</v>
      </c>
      <c r="J24" s="4" t="n">
        <v>1.177784715339983</v>
      </c>
      <c r="K24" s="4" t="n">
        <v>-3.318187438614517</v>
      </c>
      <c r="L24" s="4" t="n">
        <v>17.57985881014402</v>
      </c>
      <c r="M24" s="4" t="n">
        <v>3.250561051806102</v>
      </c>
    </row>
    <row r="25">
      <c r="A25" s="4" t="inlineStr">
        <is>
          <t>XOM</t>
        </is>
      </c>
      <c r="B25" s="7" t="inlineStr">
        <is>
          <t>BEARISH (Mixed)</t>
        </is>
      </c>
      <c r="C25" s="4" t="inlineStr">
        <is>
          <t>VOLUME_ACCUMULATION, RS_LEADER</t>
        </is>
      </c>
      <c r="D25" s="4" t="inlineStr">
        <is>
          <t>OVERBOUGHT_WARNING</t>
        </is>
      </c>
      <c r="E25" s="4" t="n">
        <v>2</v>
      </c>
      <c r="F25" s="4" t="n">
        <v>1</v>
      </c>
      <c r="G25" s="4" t="n">
        <v>143.5500030517578</v>
      </c>
      <c r="H25" s="4" t="n">
        <v>83.47108380955756</v>
      </c>
      <c r="I25" s="4" t="n">
        <v>0.8074009150681194</v>
      </c>
      <c r="J25" s="4" t="n">
        <v>1.224160973014277</v>
      </c>
      <c r="K25" s="4" t="n">
        <v>14.74696200468839</v>
      </c>
      <c r="L25" s="4" t="n">
        <v>27.43587164307342</v>
      </c>
      <c r="M25" s="4" t="n">
        <v>2.182910685056216</v>
      </c>
    </row>
    <row r="26">
      <c r="A26" s="4" t="inlineStr">
        <is>
          <t>PEP</t>
        </is>
      </c>
      <c r="B26" s="7" t="inlineStr">
        <is>
          <t>BEARISH (Mixed)</t>
        </is>
      </c>
      <c r="C26" s="4" t="inlineStr">
        <is>
          <t>VOLUME_ACCUMULATION, RS_LEADER</t>
        </is>
      </c>
      <c r="D26" s="4" t="inlineStr">
        <is>
          <t>OVERBOUGHT_WARNING</t>
        </is>
      </c>
      <c r="E26" s="4" t="n">
        <v>2</v>
      </c>
      <c r="F26" s="4" t="n">
        <v>1</v>
      </c>
      <c r="G26" s="4" t="n">
        <v>162.5599975585938</v>
      </c>
      <c r="H26" s="4" t="n">
        <v>85.78392402433391</v>
      </c>
      <c r="I26" s="4" t="n">
        <v>1.712579734992758</v>
      </c>
      <c r="J26" s="4" t="n">
        <v>1.374270096318549</v>
      </c>
      <c r="K26" s="4" t="n">
        <v>16.41742398110215</v>
      </c>
      <c r="L26" s="4" t="n">
        <v>16.25836115718976</v>
      </c>
      <c r="M26" s="4" t="n">
        <v>1.962792379895365</v>
      </c>
    </row>
    <row r="27">
      <c r="A27" s="4" t="inlineStr">
        <is>
          <t>VZ</t>
        </is>
      </c>
      <c r="B27" s="7" t="inlineStr">
        <is>
          <t>BEARISH (Mixed)</t>
        </is>
      </c>
      <c r="C27" s="4" t="inlineStr">
        <is>
          <t>RS_LEADER, GOLDEN_CROSS</t>
        </is>
      </c>
      <c r="D27" s="4" t="inlineStr">
        <is>
          <t>OVERBOUGHT_WARNING</t>
        </is>
      </c>
      <c r="E27" s="4" t="n">
        <v>2</v>
      </c>
      <c r="F27" s="4" t="n">
        <v>1</v>
      </c>
      <c r="G27" s="4" t="n">
        <v>46.625</v>
      </c>
      <c r="H27" s="4" t="n">
        <v>87.86672579982465</v>
      </c>
      <c r="I27" s="4" t="n">
        <v>0.757388153824254</v>
      </c>
      <c r="J27" s="4" t="n">
        <v>1.051234809388145</v>
      </c>
      <c r="K27" s="4" t="n">
        <v>18.14361648521388</v>
      </c>
      <c r="L27" s="4" t="n">
        <v>14.28136589748893</v>
      </c>
      <c r="M27" s="4" t="n">
        <v>2.244349888392857</v>
      </c>
    </row>
    <row r="28">
      <c r="A28" s="4" t="inlineStr">
        <is>
          <t>JNJ</t>
        </is>
      </c>
      <c r="B28" s="7" t="inlineStr">
        <is>
          <t>BEARISH (Mixed)</t>
        </is>
      </c>
      <c r="C28" s="4" t="inlineStr">
        <is>
          <t>RS_LEADER</t>
        </is>
      </c>
      <c r="D28" s="4" t="inlineStr">
        <is>
          <t>OVERBOUGHT_WARNING</t>
        </is>
      </c>
      <c r="E28" s="4" t="n">
        <v>1</v>
      </c>
      <c r="F28" s="4" t="n">
        <v>1</v>
      </c>
      <c r="G28" s="4" t="n">
        <v>234.7599945068359</v>
      </c>
      <c r="H28" s="4" t="n">
        <v>91.93479648605705</v>
      </c>
      <c r="I28" s="4" t="n">
        <v>1.28837112931179</v>
      </c>
      <c r="J28" s="4" t="n">
        <v>0.595293894867982</v>
      </c>
      <c r="K28" s="4" t="n">
        <v>15.14057084121774</v>
      </c>
      <c r="L28" s="4" t="n">
        <v>31.16296064756786</v>
      </c>
      <c r="M28" s="4" t="n">
        <v>1.724253789698891</v>
      </c>
    </row>
    <row r="29">
      <c r="A29" s="4" t="inlineStr">
        <is>
          <t>PG</t>
        </is>
      </c>
      <c r="B29" s="7" t="inlineStr">
        <is>
          <t>BEARISH (Mixed)</t>
        </is>
      </c>
      <c r="C29" s="4" t="inlineStr">
        <is>
          <t>RS_LEADER</t>
        </is>
      </c>
      <c r="D29" s="4" t="inlineStr">
        <is>
          <t>OVERBOUGHT_WARNING</t>
        </is>
      </c>
      <c r="E29" s="4" t="n">
        <v>1</v>
      </c>
      <c r="F29" s="4" t="n">
        <v>1</v>
      </c>
      <c r="G29" s="4" t="n">
        <v>155.625</v>
      </c>
      <c r="H29" s="4" t="n">
        <v>76.3836337525612</v>
      </c>
      <c r="I29" s="4" t="n">
        <v>1.016770255068464</v>
      </c>
      <c r="J29" s="4" t="n">
        <v>0.6849890246471135</v>
      </c>
      <c r="K29" s="4" t="n">
        <v>11.89162729193005</v>
      </c>
      <c r="L29" s="4" t="n">
        <v>2.530812537156405</v>
      </c>
      <c r="M29" s="4" t="n">
        <v>1.705115780109157</v>
      </c>
    </row>
    <row r="30">
      <c r="A30" s="4" t="inlineStr">
        <is>
          <t>CVX</t>
        </is>
      </c>
      <c r="B30" s="7" t="inlineStr">
        <is>
          <t>BEARISH (Mixed)</t>
        </is>
      </c>
      <c r="C30" s="4" t="inlineStr">
        <is>
          <t>RS_LEADER</t>
        </is>
      </c>
      <c r="D30" s="4" t="inlineStr">
        <is>
          <t>OVERBOUGHT_WARNING</t>
        </is>
      </c>
      <c r="E30" s="4" t="n">
        <v>1</v>
      </c>
      <c r="F30" s="4" t="n">
        <v>1</v>
      </c>
      <c r="G30" s="4" t="n">
        <v>177.2599945068359</v>
      </c>
      <c r="H30" s="4" t="n">
        <v>78.67242428262331</v>
      </c>
      <c r="I30" s="4" t="n">
        <v>0.7505168381305838</v>
      </c>
      <c r="J30" s="4" t="n">
        <v>0.9505194661491551</v>
      </c>
      <c r="K30" s="4" t="n">
        <v>8.421057074023409</v>
      </c>
      <c r="L30" s="4" t="n">
        <v>18.5507336598005</v>
      </c>
      <c r="M30" s="4" t="n">
        <v>1.807913603588031</v>
      </c>
    </row>
    <row r="31">
      <c r="A31" s="4" t="inlineStr">
        <is>
          <t>KO</t>
        </is>
      </c>
      <c r="B31" s="7" t="inlineStr">
        <is>
          <t>BEARISH (Mixed)</t>
        </is>
      </c>
      <c r="C31" s="4" t="inlineStr">
        <is>
          <t>RS_LEADER</t>
        </is>
      </c>
      <c r="D31" s="4" t="inlineStr">
        <is>
          <t>OVERBOUGHT_WARNING</t>
        </is>
      </c>
      <c r="E31" s="4" t="n">
        <v>1</v>
      </c>
      <c r="F31" s="4" t="n">
        <v>1</v>
      </c>
      <c r="G31" s="4" t="n">
        <v>76.80000305175781</v>
      </c>
      <c r="H31" s="4" t="n">
        <v>79.3868750418366</v>
      </c>
      <c r="I31" s="4" t="n">
        <v>0.5055091551856509</v>
      </c>
      <c r="J31" s="4" t="n">
        <v>0.9205766085601617</v>
      </c>
      <c r="K31" s="4" t="n">
        <v>13.27766842153761</v>
      </c>
      <c r="L31" s="4" t="n">
        <v>10.84848233025146</v>
      </c>
      <c r="M31" s="4" t="n">
        <v>1.61644242312172</v>
      </c>
    </row>
    <row r="32">
      <c r="A32" s="4" t="inlineStr">
        <is>
          <t>WMT</t>
        </is>
      </c>
      <c r="B32" s="7" t="inlineStr">
        <is>
          <t>BEARISH (Mixed)</t>
        </is>
      </c>
      <c r="C32" s="4" t="inlineStr">
        <is>
          <t>RS_LEADER</t>
        </is>
      </c>
      <c r="D32" s="4" t="inlineStr">
        <is>
          <t>OVERBOUGHT_WARNING</t>
        </is>
      </c>
      <c r="E32" s="4" t="n">
        <v>1</v>
      </c>
      <c r="F32" s="4" t="n">
        <v>1</v>
      </c>
      <c r="G32" s="4" t="n">
        <v>126.9800033569336</v>
      </c>
      <c r="H32" s="4" t="n">
        <v>70.06060510780793</v>
      </c>
      <c r="I32" s="4" t="n">
        <v>0.5509100552023825</v>
      </c>
      <c r="J32" s="4" t="n">
        <v>0.4460533805882761</v>
      </c>
      <c r="K32" s="4" t="n">
        <v>12.89756435854497</v>
      </c>
      <c r="L32" s="4" t="n">
        <v>23.18345824451919</v>
      </c>
      <c r="M32" s="4" t="n">
        <v>2.108598470579645</v>
      </c>
    </row>
    <row r="33">
      <c r="A33" s="4" t="inlineStr">
        <is>
          <t>CSCO</t>
        </is>
      </c>
      <c r="B33" s="7" t="inlineStr">
        <is>
          <t>BEARISH (Mixed)</t>
        </is>
      </c>
      <c r="C33" s="4" t="inlineStr">
        <is>
          <t>RS_LEADER</t>
        </is>
      </c>
      <c r="D33" s="4" t="inlineStr">
        <is>
          <t>OVERBOUGHT_WARNING</t>
        </is>
      </c>
      <c r="E33" s="4" t="n">
        <v>1</v>
      </c>
      <c r="F33" s="4" t="n">
        <v>1</v>
      </c>
      <c r="G33" s="4" t="n">
        <v>82.66000366210938</v>
      </c>
      <c r="H33" s="4" t="n">
        <v>74.98263636681749</v>
      </c>
      <c r="I33" s="4" t="n">
        <v>0.7909869586537577</v>
      </c>
      <c r="J33" s="4" t="n">
        <v>1.063342877768303</v>
      </c>
      <c r="K33" s="4" t="n">
        <v>9.604309284963165</v>
      </c>
      <c r="L33" s="4" t="n">
        <v>19.9661602548528</v>
      </c>
      <c r="M33" s="4" t="n">
        <v>2.151672572803871</v>
      </c>
    </row>
    <row r="34">
      <c r="A34" s="4" t="inlineStr">
        <is>
          <t>TXN</t>
        </is>
      </c>
      <c r="B34" s="7" t="inlineStr">
        <is>
          <t>BEARISH (Mixed)</t>
        </is>
      </c>
      <c r="C34" s="4" t="inlineStr">
        <is>
          <t>RS_LEADER</t>
        </is>
      </c>
      <c r="D34" s="4" t="inlineStr">
        <is>
          <t>OVERBOUGHT_WARNING</t>
        </is>
      </c>
      <c r="E34" s="4" t="n">
        <v>1</v>
      </c>
      <c r="F34" s="4" t="n">
        <v>1</v>
      </c>
      <c r="G34" s="4" t="n">
        <v>224.2700042724609</v>
      </c>
      <c r="H34" s="4" t="n">
        <v>81.67923697249702</v>
      </c>
      <c r="I34" s="4" t="n">
        <v>3.120170302697619</v>
      </c>
      <c r="J34" s="4" t="n">
        <v>1.016071203566154</v>
      </c>
      <c r="K34" s="4" t="n">
        <v>27.64764453209041</v>
      </c>
      <c r="L34" s="4" t="n">
        <v>23.39601611897931</v>
      </c>
      <c r="M34" s="4" t="n">
        <v>3.044904663518545</v>
      </c>
    </row>
    <row r="35">
      <c r="A35" s="4" t="inlineStr">
        <is>
          <t>NEE</t>
        </is>
      </c>
      <c r="B35" s="7" t="inlineStr">
        <is>
          <t>BEARISH (Mixed)</t>
        </is>
      </c>
      <c r="C35" s="4" t="inlineStr">
        <is>
          <t>RS_LEADER</t>
        </is>
      </c>
      <c r="D35" s="4" t="inlineStr">
        <is>
          <t>OVERBOUGHT_WARNING</t>
        </is>
      </c>
      <c r="E35" s="4" t="n">
        <v>1</v>
      </c>
      <c r="F35" s="4" t="n">
        <v>1</v>
      </c>
      <c r="G35" s="4" t="n">
        <v>88.54000091552734</v>
      </c>
      <c r="H35" s="4" t="n">
        <v>80.36974379053538</v>
      </c>
      <c r="I35" s="4" t="n">
        <v>0.477811106238097</v>
      </c>
      <c r="J35" s="4" t="n">
        <v>0.5715715548799942</v>
      </c>
      <c r="K35" s="4" t="n">
        <v>9.115255741655503</v>
      </c>
      <c r="L35" s="4" t="n">
        <v>16.720893670837</v>
      </c>
      <c r="M35" s="4" t="n">
        <v>2.184646905388578</v>
      </c>
    </row>
    <row r="36">
      <c r="A36" s="4" t="inlineStr">
        <is>
          <t>T</t>
        </is>
      </c>
      <c r="B36" s="7" t="inlineStr">
        <is>
          <t>BEARISH (Mixed)</t>
        </is>
      </c>
      <c r="C36" s="4" t="inlineStr">
        <is>
          <t>RS_LEADER</t>
        </is>
      </c>
      <c r="D36" s="4" t="inlineStr">
        <is>
          <t>OVERBOUGHT_WARNING</t>
        </is>
      </c>
      <c r="E36" s="4" t="n">
        <v>1</v>
      </c>
      <c r="F36" s="4" t="n">
        <v>1</v>
      </c>
      <c r="G36" s="4" t="n">
        <v>26.88500022888184</v>
      </c>
      <c r="H36" s="4" t="n">
        <v>83.66198837824469</v>
      </c>
      <c r="I36" s="4" t="n">
        <v>0.4054261714222717</v>
      </c>
      <c r="J36" s="4" t="n">
        <v>0.7884403230447297</v>
      </c>
      <c r="K36" s="4" t="n">
        <v>10.31445337414787</v>
      </c>
      <c r="L36" s="4" t="n">
        <v>2.530316065375819</v>
      </c>
      <c r="M36" s="4" t="n">
        <v>2.177262338985779</v>
      </c>
    </row>
    <row r="37">
      <c r="A37" s="4" t="inlineStr">
        <is>
          <t>MSFT</t>
        </is>
      </c>
      <c r="B37" s="7" t="inlineStr">
        <is>
          <t>BEARISH</t>
        </is>
      </c>
      <c r="C37" s="4" t="inlineStr"/>
      <c r="D37" s="4" t="inlineStr">
        <is>
          <t>TREND_REVERSAL</t>
        </is>
      </c>
      <c r="E37" s="4" t="n">
        <v>0</v>
      </c>
      <c r="F37" s="4" t="n">
        <v>1</v>
      </c>
      <c r="G37" s="4" t="n">
        <v>409.239990234375</v>
      </c>
      <c r="H37" s="4" t="n">
        <v>28.50143061134472</v>
      </c>
      <c r="I37" s="4" t="n">
        <v>-4.789613367498163</v>
      </c>
      <c r="J37" s="4" t="n">
        <v>1.086891435832523</v>
      </c>
      <c r="K37" s="4" t="n">
        <v>-13.21572271861979</v>
      </c>
      <c r="L37" s="4" t="n">
        <v>-15.65948473388234</v>
      </c>
      <c r="M37" s="4" t="n">
        <v>3.687304990595913</v>
      </c>
    </row>
    <row r="38">
      <c r="A38" s="4" t="inlineStr">
        <is>
          <t>TSLA</t>
        </is>
      </c>
      <c r="B38" s="7" t="inlineStr">
        <is>
          <t>BEARISH</t>
        </is>
      </c>
      <c r="C38" s="4" t="inlineStr"/>
      <c r="D38" s="4" t="inlineStr">
        <is>
          <t>TREND_REVERSAL</t>
        </is>
      </c>
      <c r="E38" s="4" t="n">
        <v>0</v>
      </c>
      <c r="F38" s="4" t="n">
        <v>1</v>
      </c>
      <c r="G38" s="4" t="n">
        <v>416.7900085449219</v>
      </c>
      <c r="H38" s="4" t="n">
        <v>37.27082112864215</v>
      </c>
      <c r="I38" s="4" t="n">
        <v>-1.877338603301387</v>
      </c>
      <c r="J38" s="4" t="n">
        <v>0.7349203348967542</v>
      </c>
      <c r="K38" s="4" t="n">
        <v>-7.485703549972245</v>
      </c>
      <c r="L38" s="4" t="n">
        <v>9.989145498110732</v>
      </c>
      <c r="M38" s="4" t="n">
        <v>3.558145062910803</v>
      </c>
    </row>
    <row r="39">
      <c r="A39" s="4" t="inlineStr">
        <is>
          <t>BRK-B</t>
        </is>
      </c>
      <c r="B39" s="7" t="inlineStr">
        <is>
          <t>BEARISH</t>
        </is>
      </c>
      <c r="C39" s="4" t="inlineStr"/>
      <c r="D39" s="4" t="inlineStr">
        <is>
          <t>DEATH_CROSS</t>
        </is>
      </c>
      <c r="E39" s="4" t="n">
        <v>0</v>
      </c>
      <c r="F39" s="4" t="n">
        <v>1</v>
      </c>
      <c r="G39" s="4" t="n">
        <v>495.6400146484375</v>
      </c>
      <c r="H39" s="4" t="n">
        <v>50.35999279355287</v>
      </c>
      <c r="I39" s="4" t="n">
        <v>0.7525444102317325</v>
      </c>
      <c r="J39" s="4" t="n">
        <v>0.856639169509959</v>
      </c>
      <c r="K39" s="4" t="n">
        <v>-0.3409553578928803</v>
      </c>
      <c r="L39" s="4" t="n">
        <v>0.2479125665984522</v>
      </c>
      <c r="M39" s="4" t="n">
        <v>1.387094551924442</v>
      </c>
    </row>
    <row r="40">
      <c r="A40" s="4" t="inlineStr">
        <is>
          <t>UNH</t>
        </is>
      </c>
      <c r="B40" s="7" t="inlineStr">
        <is>
          <t>BEARISH</t>
        </is>
      </c>
      <c r="C40" s="4" t="inlineStr"/>
      <c r="D40" s="4" t="inlineStr">
        <is>
          <t>TREND_REVERSAL, DEATH_CROSS</t>
        </is>
      </c>
      <c r="E40" s="4" t="n">
        <v>0</v>
      </c>
      <c r="F40" s="4" t="n">
        <v>2</v>
      </c>
      <c r="G40" s="4" t="n">
        <v>282.8099975585938</v>
      </c>
      <c r="H40" s="4" t="n">
        <v>30.96798221754422</v>
      </c>
      <c r="I40" s="4" t="n">
        <v>-6.874419039775286</v>
      </c>
      <c r="J40" s="4" t="n">
        <v>0.624343232638171</v>
      </c>
      <c r="K40" s="4" t="n">
        <v>-17.07510163139697</v>
      </c>
      <c r="L40" s="4" t="n">
        <v>-12.42620430309818</v>
      </c>
      <c r="M40" s="4" t="n">
        <v>4.718464945474032</v>
      </c>
    </row>
    <row r="41">
      <c r="A41" s="4" t="inlineStr">
        <is>
          <t>AVGO</t>
        </is>
      </c>
      <c r="B41" s="7" t="inlineStr">
        <is>
          <t>BEARISH</t>
        </is>
      </c>
      <c r="C41" s="4" t="inlineStr"/>
      <c r="D41" s="4" t="inlineStr">
        <is>
          <t>TREND_REVERSAL</t>
        </is>
      </c>
      <c r="E41" s="4" t="n">
        <v>0</v>
      </c>
      <c r="F41" s="4" t="n">
        <v>1</v>
      </c>
      <c r="G41" s="4" t="n">
        <v>311.125</v>
      </c>
      <c r="H41" s="4" t="n">
        <v>27.02729543898026</v>
      </c>
      <c r="I41" s="4" t="n">
        <v>-0.8153819003467326</v>
      </c>
      <c r="J41" s="4" t="n">
        <v>0.9505507787397475</v>
      </c>
      <c r="K41" s="4" t="n">
        <v>-9.167190878285092</v>
      </c>
      <c r="L41" s="4" t="n">
        <v>1.689329347486373</v>
      </c>
      <c r="M41" s="4" t="n">
        <v>4.519082484135554</v>
      </c>
    </row>
    <row r="42">
      <c r="A42" s="4" t="inlineStr">
        <is>
          <t>TMO</t>
        </is>
      </c>
      <c r="B42" s="7" t="inlineStr">
        <is>
          <t>BEARISH</t>
        </is>
      </c>
      <c r="C42" s="4" t="inlineStr"/>
      <c r="D42" s="4" t="inlineStr">
        <is>
          <t>TREND_REVERSAL</t>
        </is>
      </c>
      <c r="E42" s="4" t="n">
        <v>0</v>
      </c>
      <c r="F42" s="4" t="n">
        <v>1</v>
      </c>
      <c r="G42" s="4" t="n">
        <v>569.7650146484375</v>
      </c>
      <c r="H42" s="4" t="n">
        <v>34.6459524688521</v>
      </c>
      <c r="I42" s="4" t="n">
        <v>-7.602155441824349</v>
      </c>
      <c r="J42" s="4" t="n">
        <v>0.4758189114742338</v>
      </c>
      <c r="K42" s="4" t="n">
        <v>-6.542536580043723</v>
      </c>
      <c r="L42" s="4" t="n">
        <v>14.11170041302621</v>
      </c>
      <c r="M42" s="4" t="n">
        <v>2.773940890235107</v>
      </c>
    </row>
    <row r="43">
      <c r="A43" s="4" t="inlineStr">
        <is>
          <t>ACN</t>
        </is>
      </c>
      <c r="B43" s="7" t="inlineStr">
        <is>
          <t>BEARISH</t>
        </is>
      </c>
      <c r="C43" s="4" t="inlineStr"/>
      <c r="D43" s="4" t="inlineStr">
        <is>
          <t>TREND_REVERSAL</t>
        </is>
      </c>
      <c r="E43" s="4" t="n">
        <v>0</v>
      </c>
      <c r="F43" s="4" t="n">
        <v>1</v>
      </c>
      <c r="G43" s="4" t="n">
        <v>239.0149993896484</v>
      </c>
      <c r="H43" s="4" t="n">
        <v>30.55628709969159</v>
      </c>
      <c r="I43" s="4" t="n">
        <v>-4.230137951997869</v>
      </c>
      <c r="J43" s="4" t="n">
        <v>1.427764255255119</v>
      </c>
      <c r="K43" s="4" t="n">
        <v>-9.220410310237225</v>
      </c>
      <c r="L43" s="4" t="n">
        <v>-11.9053372000684</v>
      </c>
      <c r="M43" s="4" t="n">
        <v>4.514064560545405</v>
      </c>
    </row>
    <row r="44">
      <c r="A44" s="4" t="inlineStr">
        <is>
          <t>ABT</t>
        </is>
      </c>
      <c r="B44" s="7" t="inlineStr">
        <is>
          <t>BEARISH</t>
        </is>
      </c>
      <c r="C44" s="4" t="inlineStr"/>
      <c r="D44" s="4" t="inlineStr">
        <is>
          <t>TREND_REVERSAL</t>
        </is>
      </c>
      <c r="E44" s="4" t="n">
        <v>0</v>
      </c>
      <c r="F44" s="4" t="n">
        <v>1</v>
      </c>
      <c r="G44" s="4" t="n">
        <v>108.7799987792969</v>
      </c>
      <c r="H44" s="4" t="n">
        <v>21.03155488560422</v>
      </c>
      <c r="I44" s="4" t="n">
        <v>-0.7517826982085354</v>
      </c>
      <c r="J44" s="4" t="n">
        <v>0.6041608565829056</v>
      </c>
      <c r="K44" s="4" t="n">
        <v>-13.30138549487991</v>
      </c>
      <c r="L44" s="4" t="n">
        <v>-14.88719107476724</v>
      </c>
      <c r="M44" s="4" t="n">
        <v>3.133416566573234</v>
      </c>
    </row>
    <row r="45">
      <c r="A45" s="4" t="inlineStr">
        <is>
          <t>DHR</t>
        </is>
      </c>
      <c r="B45" s="7" t="inlineStr">
        <is>
          <t>BEARISH</t>
        </is>
      </c>
      <c r="C45" s="4" t="inlineStr"/>
      <c r="D45" s="4" t="inlineStr">
        <is>
          <t>TREND_REVERSAL</t>
        </is>
      </c>
      <c r="E45" s="4" t="n">
        <v>0</v>
      </c>
      <c r="F45" s="4" t="n">
        <v>1</v>
      </c>
      <c r="G45" s="4" t="n">
        <v>217.8000030517578</v>
      </c>
      <c r="H45" s="4" t="n">
        <v>33.65244189681951</v>
      </c>
      <c r="I45" s="4" t="n">
        <v>-2.572855578391031</v>
      </c>
      <c r="J45" s="4" t="n">
        <v>0.5017083822123698</v>
      </c>
      <c r="K45" s="4" t="n">
        <v>-7.224160353951381</v>
      </c>
      <c r="L45" s="4" t="n">
        <v>4.769960060363189</v>
      </c>
      <c r="M45" s="4" t="n">
        <v>2.86337337913025</v>
      </c>
    </row>
    <row r="46">
      <c r="A46" s="4" t="inlineStr">
        <is>
          <t>CRM</t>
        </is>
      </c>
      <c r="B46" s="7" t="inlineStr">
        <is>
          <t>BEARISH</t>
        </is>
      </c>
      <c r="C46" s="4" t="inlineStr"/>
      <c r="D46" s="4" t="inlineStr">
        <is>
          <t>TREND_REVERSAL</t>
        </is>
      </c>
      <c r="E46" s="4" t="n">
        <v>0</v>
      </c>
      <c r="F46" s="4" t="n">
        <v>1</v>
      </c>
      <c r="G46" s="4" t="n">
        <v>193.8999938964844</v>
      </c>
      <c r="H46" s="4" t="n">
        <v>14.21849023575885</v>
      </c>
      <c r="I46" s="4" t="n">
        <v>-3.377580042553927</v>
      </c>
      <c r="J46" s="4" t="n">
        <v>1.494505697732937</v>
      </c>
      <c r="K46" s="4" t="n">
        <v>-24.09791584173799</v>
      </c>
      <c r="L46" s="4" t="n">
        <v>-23.36089782762204</v>
      </c>
      <c r="M46" s="4" t="n">
        <v>4.092316744725611</v>
      </c>
    </row>
    <row r="47">
      <c r="A47" s="4" t="inlineStr">
        <is>
          <t>NKE</t>
        </is>
      </c>
      <c r="B47" s="7" t="inlineStr">
        <is>
          <t>BEARISH</t>
        </is>
      </c>
      <c r="C47" s="4" t="inlineStr"/>
      <c r="D47" s="4" t="inlineStr">
        <is>
          <t>TREND_REVERSAL</t>
        </is>
      </c>
      <c r="E47" s="4" t="n">
        <v>0</v>
      </c>
      <c r="F47" s="4" t="n">
        <v>1</v>
      </c>
      <c r="G47" s="4" t="n">
        <v>60.65999984741211</v>
      </c>
      <c r="H47" s="4" t="n">
        <v>23.79178400002553</v>
      </c>
      <c r="I47" s="4" t="n">
        <v>-0.438014834523987</v>
      </c>
      <c r="J47" s="4" t="n">
        <v>0.6812207779523582</v>
      </c>
      <c r="K47" s="4" t="n">
        <v>-5.760459523617822</v>
      </c>
      <c r="L47" s="4" t="n">
        <v>-8.642120365940468</v>
      </c>
      <c r="M47" s="4" t="n">
        <v>2.508123031398753</v>
      </c>
    </row>
    <row r="48">
      <c r="A48" s="4" t="inlineStr">
        <is>
          <t>DIS</t>
        </is>
      </c>
      <c r="B48" s="7" t="inlineStr">
        <is>
          <t>BEARISH</t>
        </is>
      </c>
      <c r="C48" s="4" t="inlineStr"/>
      <c r="D48" s="4" t="inlineStr">
        <is>
          <t>TREND_REVERSAL</t>
        </is>
      </c>
      <c r="E48" s="4" t="n">
        <v>0</v>
      </c>
      <c r="F48" s="4" t="n">
        <v>1</v>
      </c>
      <c r="G48" s="4" t="n">
        <v>103.5899963378906</v>
      </c>
      <c r="H48" s="4" t="n">
        <v>29.91012855054906</v>
      </c>
      <c r="I48" s="4" t="n">
        <v>-0.9749760874132775</v>
      </c>
      <c r="J48" s="4" t="n">
        <v>1.441692034628922</v>
      </c>
      <c r="K48" s="4" t="n">
        <v>-8.950594539460344</v>
      </c>
      <c r="L48" s="4" t="n">
        <v>-7.071745907443522</v>
      </c>
      <c r="M48" s="4" t="n">
        <v>2.640215867483011</v>
      </c>
    </row>
    <row r="49">
      <c r="A49" s="4" t="inlineStr">
        <is>
          <t>ADBE</t>
        </is>
      </c>
      <c r="B49" s="7" t="inlineStr">
        <is>
          <t>BEARISH</t>
        </is>
      </c>
      <c r="C49" s="4" t="inlineStr"/>
      <c r="D49" s="4" t="inlineStr">
        <is>
          <t>TREND_REVERSAL</t>
        </is>
      </c>
      <c r="E49" s="4" t="n">
        <v>0</v>
      </c>
      <c r="F49" s="4" t="n">
        <v>1</v>
      </c>
      <c r="G49" s="4" t="n">
        <v>272.2999877929688</v>
      </c>
      <c r="H49" s="4" t="n">
        <v>24.61205483694032</v>
      </c>
      <c r="I49" s="4" t="n">
        <v>-1.647936590285795</v>
      </c>
      <c r="J49" s="4" t="n">
        <v>1.131277899489164</v>
      </c>
      <c r="K49" s="4" t="n">
        <v>-17.63633835383023</v>
      </c>
      <c r="L49" s="4" t="n">
        <v>-23.43468465549695</v>
      </c>
      <c r="M49" s="4" t="n">
        <v>3.190021268644326</v>
      </c>
    </row>
    <row r="50">
      <c r="A50" s="4" t="inlineStr">
        <is>
          <t>NFLX</t>
        </is>
      </c>
      <c r="B50" s="7" t="inlineStr">
        <is>
          <t>BEARISH</t>
        </is>
      </c>
      <c r="C50" s="4" t="inlineStr"/>
      <c r="D50" s="4" t="inlineStr">
        <is>
          <t>TREND_REVERSAL</t>
        </is>
      </c>
      <c r="E50" s="4" t="n">
        <v>0</v>
      </c>
      <c r="F50" s="4" t="n">
        <v>1</v>
      </c>
      <c r="G50" s="4" t="n">
        <v>79.91000366210938</v>
      </c>
      <c r="H50" s="4" t="n">
        <v>17.92974840842628</v>
      </c>
      <c r="I50" s="4" t="n">
        <v>-0.1493429935428017</v>
      </c>
      <c r="J50" s="4" t="n">
        <v>0.6176452417963193</v>
      </c>
      <c r="K50" s="4" t="n">
        <v>-12.39171704994897</v>
      </c>
      <c r="L50" s="4" t="n">
        <v>-29.07666401167422</v>
      </c>
      <c r="M50" s="4" t="n">
        <v>3.102598705022964</v>
      </c>
    </row>
    <row r="51">
      <c r="A51" s="4" t="inlineStr">
        <is>
          <t>ORCL</t>
        </is>
      </c>
      <c r="B51" s="7" t="inlineStr">
        <is>
          <t>BEARISH</t>
        </is>
      </c>
      <c r="C51" s="4" t="inlineStr"/>
      <c r="D51" s="4" t="inlineStr">
        <is>
          <t>TREND_REVERSAL</t>
        </is>
      </c>
      <c r="E51" s="4" t="n">
        <v>0</v>
      </c>
      <c r="F51" s="4" t="n">
        <v>1</v>
      </c>
      <c r="G51" s="4" t="n">
        <v>152.1750030517578</v>
      </c>
      <c r="H51" s="4" t="n">
        <v>15.07906804249286</v>
      </c>
      <c r="I51" s="4" t="n">
        <v>-2.433433859633571</v>
      </c>
      <c r="J51" s="4" t="n">
        <v>1.294684533872267</v>
      </c>
      <c r="K51" s="4" t="n">
        <v>-20.53937261463151</v>
      </c>
      <c r="L51" s="4" t="n">
        <v>-30.50531838121129</v>
      </c>
      <c r="M51" s="4" t="n">
        <v>5.688467424002608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>Ticker</t>
        </is>
      </c>
      <c r="B1" s="8" t="inlineStr">
        <is>
          <t>Signal</t>
        </is>
      </c>
      <c r="C1" s="8" t="inlineStr">
        <is>
          <t>Bullish_Setups</t>
        </is>
      </c>
      <c r="D1" s="8" t="inlineStr">
        <is>
          <t>Bearish_Setups</t>
        </is>
      </c>
      <c r="E1" s="8" t="inlineStr">
        <is>
          <t>Num_Bullish</t>
        </is>
      </c>
      <c r="F1" s="8" t="inlineStr">
        <is>
          <t>Num_Bearish</t>
        </is>
      </c>
      <c r="G1" s="8" t="inlineStr">
        <is>
          <t>Price</t>
        </is>
      </c>
      <c r="H1" s="8" t="inlineStr">
        <is>
          <t>RSI</t>
        </is>
      </c>
      <c r="I1" s="8" t="inlineStr">
        <is>
          <t>MACD_Hist</t>
        </is>
      </c>
      <c r="J1" s="8" t="inlineStr">
        <is>
          <t>Vol_Ratio</t>
        </is>
      </c>
      <c r="K1" s="8" t="inlineStr">
        <is>
          <t>RS_vs_SPY</t>
        </is>
      </c>
      <c r="L1" s="8" t="inlineStr">
        <is>
          <t>Dist_200_SMA</t>
        </is>
      </c>
      <c r="M1" s="8" t="inlineStr">
        <is>
          <t>ATR_Pct</t>
        </is>
      </c>
    </row>
    <row r="2">
      <c r="A2" s="4" t="inlineStr">
        <is>
          <t>HD</t>
        </is>
      </c>
      <c r="B2" s="4" t="inlineStr">
        <is>
          <t>BULLISH</t>
        </is>
      </c>
      <c r="C2" s="4" t="inlineStr">
        <is>
          <t>PULLBACK_SUPPORT, RS_LEADER</t>
        </is>
      </c>
      <c r="D2" s="4" t="inlineStr"/>
      <c r="E2" s="4" t="n">
        <v>2</v>
      </c>
      <c r="F2" s="4" t="n">
        <v>0</v>
      </c>
      <c r="G2" s="4" t="n">
        <v>381.4100036621094</v>
      </c>
      <c r="H2" s="4" t="n">
        <v>51.49028345968639</v>
      </c>
      <c r="I2" s="4" t="n">
        <v>-0.5586394457857118</v>
      </c>
      <c r="J2" s="4" t="n">
        <v>0.7692864863983027</v>
      </c>
      <c r="K2" s="4" t="n">
        <v>11.08275137146757</v>
      </c>
      <c r="L2" s="4" t="n">
        <v>2.632689454600809</v>
      </c>
      <c r="M2" s="4" t="n">
        <v>2.120329101581286</v>
      </c>
    </row>
    <row r="3">
      <c r="A3" s="4" t="inlineStr">
        <is>
          <t>MRK</t>
        </is>
      </c>
      <c r="B3" s="4" t="inlineStr">
        <is>
          <t>BULLISH</t>
        </is>
      </c>
      <c r="C3" s="4" t="inlineStr">
        <is>
          <t>VOLUME_ACCUMULATION, RS_LEADER</t>
        </is>
      </c>
      <c r="D3" s="4" t="inlineStr"/>
      <c r="E3" s="4" t="n">
        <v>2</v>
      </c>
      <c r="F3" s="4" t="n">
        <v>0</v>
      </c>
      <c r="G3" s="4" t="n">
        <v>116.375</v>
      </c>
      <c r="H3" s="4" t="n">
        <v>68.49783813432958</v>
      </c>
      <c r="I3" s="4" t="n">
        <v>0.191517748735748</v>
      </c>
      <c r="J3" s="4" t="n">
        <v>1.244078418277603</v>
      </c>
      <c r="K3" s="4" t="n">
        <v>8.553016618803632</v>
      </c>
      <c r="L3" s="4" t="n">
        <v>33.66286281604111</v>
      </c>
      <c r="M3" s="4" t="n">
        <v>2.512813730255965</v>
      </c>
    </row>
    <row r="4">
      <c r="A4" s="4" t="inlineStr">
        <is>
          <t>PM</t>
        </is>
      </c>
      <c r="B4" s="4" t="inlineStr">
        <is>
          <t>BULLISH</t>
        </is>
      </c>
      <c r="C4" s="4" t="inlineStr">
        <is>
          <t>RS_LEADER, GOLDEN_CROSS</t>
        </is>
      </c>
      <c r="D4" s="4" t="inlineStr"/>
      <c r="E4" s="4" t="n">
        <v>2</v>
      </c>
      <c r="F4" s="4" t="n">
        <v>0</v>
      </c>
      <c r="G4" s="4" t="n">
        <v>178.8249969482422</v>
      </c>
      <c r="H4" s="4" t="n">
        <v>71.57821920165088</v>
      </c>
      <c r="I4" s="4" t="n">
        <v>0.5309270726097788</v>
      </c>
      <c r="J4" s="4" t="n">
        <v>0.9713449574863637</v>
      </c>
      <c r="K4" s="4" t="n">
        <v>12.100252765582</v>
      </c>
      <c r="L4" s="4" t="n">
        <v>9.403884054904484</v>
      </c>
      <c r="M4" s="4" t="n">
        <v>2.372133929695168</v>
      </c>
    </row>
    <row r="5">
      <c r="A5" s="4" t="inlineStr">
        <is>
          <t>BMY</t>
        </is>
      </c>
      <c r="B5" s="4" t="inlineStr">
        <is>
          <t>BULLISH</t>
        </is>
      </c>
      <c r="C5" s="4" t="inlineStr">
        <is>
          <t>PULLBACK_SUPPORT, RS_LEADER</t>
        </is>
      </c>
      <c r="D5" s="4" t="inlineStr"/>
      <c r="E5" s="4" t="n">
        <v>2</v>
      </c>
      <c r="F5" s="4" t="n">
        <v>0</v>
      </c>
      <c r="G5" s="4" t="n">
        <v>56.34999847412109</v>
      </c>
      <c r="H5" s="4" t="n">
        <v>52.31931017795328</v>
      </c>
      <c r="I5" s="4" t="n">
        <v>-0.1143645074556467</v>
      </c>
      <c r="J5" s="4" t="n">
        <v>0.5511928932908211</v>
      </c>
      <c r="K5" s="4" t="n">
        <v>6.437271614386852</v>
      </c>
      <c r="L5" s="4" t="n">
        <v>18.93356748329396</v>
      </c>
      <c r="M5" s="4" t="n">
        <v>2.078843726108578</v>
      </c>
    </row>
    <row r="6">
      <c r="A6" s="4" t="inlineStr">
        <is>
          <t>GOOGL</t>
        </is>
      </c>
      <c r="B6" s="4" t="inlineStr">
        <is>
          <t>BULLISH</t>
        </is>
      </c>
      <c r="C6" s="4" t="inlineStr">
        <is>
          <t>RS_LEADER</t>
        </is>
      </c>
      <c r="D6" s="4" t="inlineStr"/>
      <c r="E6" s="4" t="n">
        <v>1</v>
      </c>
      <c r="F6" s="4" t="n">
        <v>0</v>
      </c>
      <c r="G6" s="4" t="n">
        <v>338.4299926757812</v>
      </c>
      <c r="H6" s="4" t="n">
        <v>52.63720955492406</v>
      </c>
      <c r="I6" s="4" t="n">
        <v>0.2463672524198035</v>
      </c>
      <c r="J6" s="4" t="n">
        <v>0.7247698517436415</v>
      </c>
      <c r="K6" s="4" t="n">
        <v>7.152142072378997</v>
      </c>
      <c r="L6" s="4" t="n">
        <v>43.35313870747436</v>
      </c>
      <c r="M6" s="4" t="n">
        <v>2.510024190070872</v>
      </c>
    </row>
    <row r="7">
      <c r="A7" s="4" t="inlineStr">
        <is>
          <t>AMZN</t>
        </is>
      </c>
      <c r="B7" s="4" t="inlineStr">
        <is>
          <t>BULLISH</t>
        </is>
      </c>
      <c r="C7" s="4" t="inlineStr">
        <is>
          <t>PULLBACK_SUPPORT</t>
        </is>
      </c>
      <c r="D7" s="4" t="inlineStr"/>
      <c r="E7" s="4" t="n">
        <v>1</v>
      </c>
      <c r="F7" s="4" t="n">
        <v>0</v>
      </c>
      <c r="G7" s="4" t="n">
        <v>236.5800018310547</v>
      </c>
      <c r="H7" s="4" t="n">
        <v>43.61205120242275</v>
      </c>
      <c r="I7" s="4" t="n">
        <v>-0.2311677590021664</v>
      </c>
      <c r="J7" s="4" t="n">
        <v>0.8795932944940223</v>
      </c>
      <c r="K7" s="4" t="n">
        <v>1.747092068154532</v>
      </c>
      <c r="L7" s="4" t="n">
        <v>6.369801934698671</v>
      </c>
      <c r="M7" s="4" t="n">
        <v>2.610413309405544</v>
      </c>
    </row>
    <row r="8">
      <c r="A8" s="4" t="inlineStr">
        <is>
          <t>COST</t>
        </is>
      </c>
      <c r="B8" s="4" t="inlineStr">
        <is>
          <t>BULLISH</t>
        </is>
      </c>
      <c r="C8" s="4" t="inlineStr">
        <is>
          <t>RS_LEADER</t>
        </is>
      </c>
      <c r="D8" s="4" t="inlineStr"/>
      <c r="E8" s="4" t="n">
        <v>1</v>
      </c>
      <c r="F8" s="4" t="n">
        <v>0</v>
      </c>
      <c r="G8" s="4" t="n">
        <v>977.030029296875</v>
      </c>
      <c r="H8" s="4" t="n">
        <v>63.67203303301375</v>
      </c>
      <c r="I8" s="4" t="n">
        <v>-0.9444873770398772</v>
      </c>
      <c r="J8" s="4" t="n">
        <v>0.7294681994872219</v>
      </c>
      <c r="K8" s="4" t="n">
        <v>11.95538901415318</v>
      </c>
      <c r="L8" s="4" t="n">
        <v>2.993011400006359</v>
      </c>
      <c r="M8" s="4" t="n">
        <v>1.886408106407834</v>
      </c>
    </row>
    <row r="9">
      <c r="A9" s="4" t="inlineStr">
        <is>
          <t>MCD</t>
        </is>
      </c>
      <c r="B9" s="4" t="inlineStr">
        <is>
          <t>BULLISH</t>
        </is>
      </c>
      <c r="C9" s="4" t="inlineStr">
        <is>
          <t>RS_LEADER</t>
        </is>
      </c>
      <c r="D9" s="4" t="inlineStr"/>
      <c r="E9" s="4" t="n">
        <v>1</v>
      </c>
      <c r="F9" s="4" t="n">
        <v>0</v>
      </c>
      <c r="G9" s="4" t="n">
        <v>320.0698852539062</v>
      </c>
      <c r="H9" s="4" t="n">
        <v>68.6555093523916</v>
      </c>
      <c r="I9" s="4" t="n">
        <v>1.35111101390599</v>
      </c>
      <c r="J9" s="4" t="n">
        <v>0.7520859067212085</v>
      </c>
      <c r="K9" s="4" t="n">
        <v>6.97652839433538</v>
      </c>
      <c r="L9" s="4" t="n">
        <v>5.292162135097707</v>
      </c>
      <c r="M9" s="4" t="n">
        <v>1.398354045113929</v>
      </c>
    </row>
    <row r="10">
      <c r="A10" s="4" t="inlineStr">
        <is>
          <t>PFE</t>
        </is>
      </c>
      <c r="B10" s="4" t="inlineStr">
        <is>
          <t>BULLISH</t>
        </is>
      </c>
      <c r="C10" s="4" t="inlineStr">
        <is>
          <t>VOLUME_ACCUMULATION</t>
        </is>
      </c>
      <c r="D10" s="4" t="inlineStr"/>
      <c r="E10" s="4" t="n">
        <v>1</v>
      </c>
      <c r="F10" s="4" t="n">
        <v>0</v>
      </c>
      <c r="G10" s="4" t="n">
        <v>25.84499931335449</v>
      </c>
      <c r="H10" s="4" t="n">
        <v>61.58671760202212</v>
      </c>
      <c r="I10" s="4" t="n">
        <v>0.07468981684112497</v>
      </c>
      <c r="J10" s="4" t="n">
        <v>1.364531693919749</v>
      </c>
      <c r="K10" s="4" t="n">
        <v>4.638541733031221</v>
      </c>
      <c r="L10" s="4" t="n">
        <v>8.520016036575766</v>
      </c>
      <c r="M10" s="4" t="n">
        <v>2.215758281183497</v>
      </c>
    </row>
    <row r="11">
      <c r="A11" s="4" t="inlineStr">
        <is>
          <t>CMCSA</t>
        </is>
      </c>
      <c r="B11" s="4" t="inlineStr">
        <is>
          <t>BULLISH</t>
        </is>
      </c>
      <c r="C11" s="4" t="inlineStr">
        <is>
          <t>RS_LEADER</t>
        </is>
      </c>
      <c r="D11" s="4" t="inlineStr"/>
      <c r="E11" s="4" t="n">
        <v>1</v>
      </c>
      <c r="F11" s="4" t="n">
        <v>0</v>
      </c>
      <c r="G11" s="4" t="n">
        <v>29.79439926147461</v>
      </c>
      <c r="H11" s="4" t="n">
        <v>65.79816426342398</v>
      </c>
      <c r="I11" s="4" t="n">
        <v>0.04637180881453595</v>
      </c>
      <c r="J11" s="4" t="n">
        <v>0.6498463595607358</v>
      </c>
      <c r="K11" s="4" t="n">
        <v>7.395219959506627</v>
      </c>
      <c r="L11" s="4" t="n">
        <v>1.724993892817818</v>
      </c>
      <c r="M11" s="4" t="n">
        <v>2.731817470065322</v>
      </c>
    </row>
    <row r="12">
      <c r="A12" s="4" t="inlineStr">
        <is>
          <t>INTC</t>
        </is>
      </c>
      <c r="B12" s="4" t="inlineStr">
        <is>
          <t>BULLISH</t>
        </is>
      </c>
      <c r="C12" s="4" t="inlineStr">
        <is>
          <t>RS_LEADER</t>
        </is>
      </c>
      <c r="D12" s="4" t="inlineStr"/>
      <c r="E12" s="4" t="n">
        <v>1</v>
      </c>
      <c r="F12" s="4" t="n">
        <v>0</v>
      </c>
      <c r="G12" s="4" t="n">
        <v>49.04000091552734</v>
      </c>
      <c r="H12" s="4" t="n">
        <v>52.60804804586279</v>
      </c>
      <c r="I12" s="4" t="n">
        <v>-0.1685646372209897</v>
      </c>
      <c r="J12" s="4" t="n">
        <v>0.5942016010213714</v>
      </c>
      <c r="K12" s="4" t="n">
        <v>24.79860436285673</v>
      </c>
      <c r="L12" s="4" t="n">
        <v>62.89382636689517</v>
      </c>
      <c r="M12" s="4" t="n">
        <v>7.469119988428781</v>
      </c>
    </row>
    <row r="13">
      <c r="A13" s="4" t="inlineStr">
        <is>
          <t>RTX</t>
        </is>
      </c>
      <c r="B13" s="4" t="inlineStr">
        <is>
          <t>BULLISH</t>
        </is>
      </c>
      <c r="C13" s="4" t="inlineStr">
        <is>
          <t>RS_LEADER</t>
        </is>
      </c>
      <c r="D13" s="4" t="inlineStr"/>
      <c r="E13" s="4" t="n">
        <v>1</v>
      </c>
      <c r="F13" s="4" t="n">
        <v>0</v>
      </c>
      <c r="G13" s="4" t="n">
        <v>202.9400024414062</v>
      </c>
      <c r="H13" s="4" t="n">
        <v>64.5915832315996</v>
      </c>
      <c r="I13" s="4" t="n">
        <v>-0.04210949396601915</v>
      </c>
      <c r="J13" s="4" t="n">
        <v>0.7543948493491434</v>
      </c>
      <c r="K13" s="4" t="n">
        <v>8.034480524933407</v>
      </c>
      <c r="L13" s="4" t="n">
        <v>27.09610650859674</v>
      </c>
      <c r="M13" s="4" t="n">
        <v>2.180446215116162</v>
      </c>
    </row>
    <row r="14">
      <c r="A14" s="4" t="inlineStr">
        <is>
          <t>COP</t>
        </is>
      </c>
      <c r="B14" s="4" t="inlineStr">
        <is>
          <t>BULLISH</t>
        </is>
      </c>
      <c r="C14" s="4" t="inlineStr">
        <is>
          <t>RS_LEADER</t>
        </is>
      </c>
      <c r="D14" s="4" t="inlineStr"/>
      <c r="E14" s="4" t="n">
        <v>1</v>
      </c>
      <c r="F14" s="4" t="n">
        <v>0</v>
      </c>
      <c r="G14" s="4" t="n">
        <v>104.3399963378906</v>
      </c>
      <c r="H14" s="4" t="n">
        <v>67.17522622940788</v>
      </c>
      <c r="I14" s="4" t="n">
        <v>0.456614670915404</v>
      </c>
      <c r="J14" s="4" t="n">
        <v>0.6443497998547114</v>
      </c>
      <c r="K14" s="4" t="n">
        <v>5.418200691358699</v>
      </c>
      <c r="L14" s="4" t="n">
        <v>13.98062460847255</v>
      </c>
      <c r="M14" s="4" t="n">
        <v>2.643144276683693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9" t="inlineStr">
        <is>
          <t>ETF</t>
        </is>
      </c>
      <c r="B1" s="9" t="inlineStr">
        <is>
          <t>Sector</t>
        </is>
      </c>
      <c r="C1" s="9" t="inlineStr">
        <is>
          <t>Price</t>
        </is>
      </c>
      <c r="D1" s="9" t="inlineStr">
        <is>
          <t>Change %</t>
        </is>
      </c>
    </row>
    <row r="2">
      <c r="A2" s="4" t="inlineStr">
        <is>
          <t>XLE</t>
        </is>
      </c>
      <c r="B2" s="4" t="inlineStr">
        <is>
          <t>Energy</t>
        </is>
      </c>
      <c r="C2" s="4" t="inlineStr">
        <is>
          <t>$51.28</t>
        </is>
      </c>
      <c r="D2" s="5" t="inlineStr">
        <is>
          <t>+2.47%</t>
        </is>
      </c>
    </row>
    <row r="3">
      <c r="A3" s="4" t="inlineStr">
        <is>
          <t>XLB</t>
        </is>
      </c>
      <c r="B3" s="4" t="inlineStr">
        <is>
          <t>Materials</t>
        </is>
      </c>
      <c r="C3" s="4" t="inlineStr">
        <is>
          <t>$50.55</t>
        </is>
      </c>
      <c r="D3" s="5" t="inlineStr">
        <is>
          <t>+1.81%</t>
        </is>
      </c>
    </row>
    <row r="4">
      <c r="A4" s="4" t="inlineStr">
        <is>
          <t>XLU</t>
        </is>
      </c>
      <c r="B4" s="4" t="inlineStr">
        <is>
          <t>Utilities</t>
        </is>
      </c>
      <c r="C4" s="4" t="inlineStr">
        <is>
          <t>$43.29</t>
        </is>
      </c>
      <c r="D4" s="5" t="inlineStr">
        <is>
          <t>+1.58%</t>
        </is>
      </c>
    </row>
    <row r="5">
      <c r="A5" s="4" t="inlineStr">
        <is>
          <t>XLP</t>
        </is>
      </c>
      <c r="B5" s="4" t="inlineStr">
        <is>
          <t>Consumer Staples</t>
        </is>
      </c>
      <c r="C5" s="4" t="inlineStr">
        <is>
          <t>$85.79</t>
        </is>
      </c>
      <c r="D5" s="5" t="inlineStr">
        <is>
          <t>+1.52%</t>
        </is>
      </c>
    </row>
    <row r="6">
      <c r="A6" s="4" t="inlineStr">
        <is>
          <t>XLI</t>
        </is>
      </c>
      <c r="B6" s="4" t="inlineStr">
        <is>
          <t>Industrials</t>
        </is>
      </c>
      <c r="C6" s="4" t="inlineStr">
        <is>
          <t>$168.18</t>
        </is>
      </c>
      <c r="D6" s="5" t="inlineStr">
        <is>
          <t>+0.39%</t>
        </is>
      </c>
    </row>
    <row r="7">
      <c r="A7" s="4" t="inlineStr">
        <is>
          <t>XLRE</t>
        </is>
      </c>
      <c r="B7" s="4" t="inlineStr">
        <is>
          <t>Real Estate</t>
        </is>
      </c>
      <c r="C7" s="4" t="inlineStr">
        <is>
          <t>$40.78</t>
        </is>
      </c>
      <c r="D7" s="7" t="inlineStr">
        <is>
          <t>-0.44%</t>
        </is>
      </c>
    </row>
    <row r="8">
      <c r="A8" s="4" t="inlineStr">
        <is>
          <t>XLV</t>
        </is>
      </c>
      <c r="B8" s="4" t="inlineStr">
        <is>
          <t>Healthcare</t>
        </is>
      </c>
      <c r="C8" s="4" t="inlineStr">
        <is>
          <t>$154.55</t>
        </is>
      </c>
      <c r="D8" s="7" t="inlineStr">
        <is>
          <t>-0.73%</t>
        </is>
      </c>
    </row>
    <row r="9">
      <c r="A9" s="4" t="inlineStr">
        <is>
          <t>XLF</t>
        </is>
      </c>
      <c r="B9" s="4" t="inlineStr">
        <is>
          <t>Financials</t>
        </is>
      </c>
      <c r="C9" s="4" t="inlineStr">
        <is>
          <t>$53.39</t>
        </is>
      </c>
      <c r="D9" s="7" t="inlineStr">
        <is>
          <t>-1.18%</t>
        </is>
      </c>
    </row>
    <row r="10">
      <c r="A10" s="4" t="inlineStr">
        <is>
          <t>XLY</t>
        </is>
      </c>
      <c r="B10" s="4" t="inlineStr">
        <is>
          <t>Consumer Disc.</t>
        </is>
      </c>
      <c r="C10" s="4" t="inlineStr">
        <is>
          <t>$120.33</t>
        </is>
      </c>
      <c r="D10" s="7" t="inlineStr">
        <is>
          <t>-1.34%</t>
        </is>
      </c>
    </row>
    <row r="11">
      <c r="A11" s="4" t="inlineStr">
        <is>
          <t>XLC</t>
        </is>
      </c>
      <c r="B11" s="4" t="inlineStr">
        <is>
          <t>Communication</t>
        </is>
      </c>
      <c r="C11" s="4" t="inlineStr">
        <is>
          <t>$117.37</t>
        </is>
      </c>
      <c r="D11" s="7" t="inlineStr">
        <is>
          <t>-1.92%</t>
        </is>
      </c>
    </row>
    <row r="12">
      <c r="A12" s="4" t="inlineStr">
        <is>
          <t>XLK</t>
        </is>
      </c>
      <c r="B12" s="4" t="inlineStr">
        <is>
          <t>Technology</t>
        </is>
      </c>
      <c r="C12" s="4" t="inlineStr">
        <is>
          <t>$140.64</t>
        </is>
      </c>
      <c r="D12" s="7" t="inlineStr">
        <is>
          <t>-3.18%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12" customWidth="1" min="3" max="3"/>
    <col width="10" customWidth="1" min="4" max="4"/>
    <col width="8" customWidth="1" min="5" max="5"/>
    <col width="12" customWidth="1" min="6" max="6"/>
    <col width="10" customWidth="1" min="7" max="7"/>
    <col width="10" customWidth="1" min="8" max="8"/>
    <col width="8" customWidth="1" min="9" max="9"/>
    <col width="10" customWidth="1" min="10" max="10"/>
    <col width="25" customWidth="1" min="11" max="11"/>
  </cols>
  <sheetData>
    <row r="1">
      <c r="A1" s="1" t="inlineStr">
        <is>
          <t>DECISION HELPER - Portfolio: $166,600 | Margin Power: $333,200</t>
        </is>
      </c>
    </row>
    <row r="2">
      <c r="A2" s="2" t="inlineStr">
        <is>
          <t>LONG Rules:</t>
        </is>
      </c>
      <c r="B2" t="inlineStr">
        <is>
          <t>Max (25%): $41,650</t>
        </is>
      </c>
      <c r="D2" t="inlineStr">
        <is>
          <t>Std (10%): $16,660</t>
        </is>
      </c>
      <c r="F2" t="inlineStr">
        <is>
          <t>Min Buy: $5</t>
        </is>
      </c>
    </row>
    <row r="3">
      <c r="A3" s="10" t="inlineStr">
        <is>
          <t>SHORT Rules:</t>
        </is>
      </c>
      <c r="B3" t="inlineStr">
        <is>
          <t>Max (25%): $41,650</t>
        </is>
      </c>
      <c r="D3" t="inlineStr">
        <is>
          <t>Std (10%): $16,660</t>
        </is>
      </c>
      <c r="F3" t="inlineStr">
        <is>
          <t>Min Short: $10</t>
        </is>
      </c>
    </row>
    <row r="5">
      <c r="A5" s="11" t="inlineStr">
        <is>
          <t>📈 LONG CANDIDATES (BUY)</t>
        </is>
      </c>
    </row>
    <row r="6">
      <c r="A6" s="9" t="inlineStr">
        <is>
          <t>Ticker</t>
        </is>
      </c>
      <c r="B6" s="9" t="inlineStr">
        <is>
          <t>Score</t>
        </is>
      </c>
      <c r="C6" s="9" t="inlineStr">
        <is>
          <t>Conviction</t>
        </is>
      </c>
      <c r="D6" s="9" t="inlineStr">
        <is>
          <t>Price</t>
        </is>
      </c>
      <c r="E6" s="9" t="inlineStr">
        <is>
          <t>Shares</t>
        </is>
      </c>
      <c r="F6" s="9" t="inlineStr">
        <is>
          <t>Position $</t>
        </is>
      </c>
      <c r="G6" s="9" t="inlineStr">
        <is>
          <t>Stop Loss</t>
        </is>
      </c>
      <c r="H6" s="9" t="inlineStr">
        <is>
          <t>Risk $</t>
        </is>
      </c>
      <c r="I6" s="9" t="inlineStr">
        <is>
          <t>RSI</t>
        </is>
      </c>
      <c r="J6" s="9" t="inlineStr">
        <is>
          <t>RS vs SPY</t>
        </is>
      </c>
      <c r="K6" s="9" t="inlineStr">
        <is>
          <t>Reasons</t>
        </is>
      </c>
    </row>
    <row r="7">
      <c r="A7" s="4" t="inlineStr">
        <is>
          <t>HD</t>
        </is>
      </c>
      <c r="B7" s="5" t="inlineStr">
        <is>
          <t>5.0</t>
        </is>
      </c>
      <c r="C7" s="12" t="inlineStr">
        <is>
          <t>STRONG</t>
        </is>
      </c>
      <c r="D7" s="4" t="inlineStr">
        <is>
          <t>$381.41</t>
        </is>
      </c>
      <c r="E7" s="4" t="n">
        <v>43</v>
      </c>
      <c r="F7" s="4" t="inlineStr">
        <is>
          <t>$16,660.00</t>
        </is>
      </c>
      <c r="G7" s="4" t="inlineStr">
        <is>
          <t>$365.24</t>
        </is>
      </c>
      <c r="H7" s="4" t="inlineStr">
        <is>
          <t>$695.49</t>
        </is>
      </c>
      <c r="I7" s="4" t="inlineStr">
        <is>
          <t>51.5</t>
        </is>
      </c>
      <c r="J7" s="4" t="inlineStr">
        <is>
          <t>11.1</t>
        </is>
      </c>
      <c r="K7" s="4" t="inlineStr">
        <is>
          <t>Multi-setup, RSI sweet spot, RS leader</t>
        </is>
      </c>
    </row>
    <row r="8">
      <c r="A8" s="4" t="inlineStr">
        <is>
          <t>BMY</t>
        </is>
      </c>
      <c r="B8" s="5" t="inlineStr">
        <is>
          <t>4.0</t>
        </is>
      </c>
      <c r="C8" s="12" t="inlineStr">
        <is>
          <t>STRONG</t>
        </is>
      </c>
      <c r="D8" s="4" t="inlineStr">
        <is>
          <t>$56.35</t>
        </is>
      </c>
      <c r="E8" s="4" t="n">
        <v>295</v>
      </c>
      <c r="F8" s="4" t="inlineStr">
        <is>
          <t>$16,660.00</t>
        </is>
      </c>
      <c r="G8" s="4" t="inlineStr">
        <is>
          <t>$54.01</t>
        </is>
      </c>
      <c r="H8" s="4" t="inlineStr">
        <is>
          <t>$691.14</t>
        </is>
      </c>
      <c r="I8" s="4" t="inlineStr">
        <is>
          <t>52.3</t>
        </is>
      </c>
      <c r="J8" s="4" t="inlineStr">
        <is>
          <t>6.4</t>
        </is>
      </c>
      <c r="K8" s="4" t="inlineStr">
        <is>
          <t>Multi-setup, RSI sweet spot, RS leader</t>
        </is>
      </c>
    </row>
    <row r="9">
      <c r="A9" s="4" t="inlineStr">
        <is>
          <t>PFE</t>
        </is>
      </c>
      <c r="B9" s="5" t="inlineStr">
        <is>
          <t>4.0</t>
        </is>
      </c>
      <c r="C9" s="12" t="inlineStr">
        <is>
          <t>STRONG</t>
        </is>
      </c>
      <c r="D9" s="4" t="inlineStr">
        <is>
          <t>$25.84</t>
        </is>
      </c>
      <c r="E9" s="4" t="n">
        <v>644</v>
      </c>
      <c r="F9" s="4" t="inlineStr">
        <is>
          <t>$16,660.00</t>
        </is>
      </c>
      <c r="G9" s="4" t="inlineStr">
        <is>
          <t>$24.70</t>
        </is>
      </c>
      <c r="H9" s="4" t="inlineStr">
        <is>
          <t>$737.59</t>
        </is>
      </c>
      <c r="I9" s="4" t="inlineStr">
        <is>
          <t>61.6</t>
        </is>
      </c>
      <c r="J9" s="4" t="inlineStr">
        <is>
          <t>4.6</t>
        </is>
      </c>
      <c r="K9" s="4" t="inlineStr">
        <is>
          <t>Vol confirm, RS leader, Healthy trend</t>
        </is>
      </c>
    </row>
    <row r="10">
      <c r="A10" s="4" t="inlineStr">
        <is>
          <t>AMZN</t>
        </is>
      </c>
      <c r="B10" s="4" t="inlineStr">
        <is>
          <t>3.5</t>
        </is>
      </c>
      <c r="C10" s="13" t="inlineStr">
        <is>
          <t>MODERATE</t>
        </is>
      </c>
      <c r="D10" s="4" t="inlineStr">
        <is>
          <t>$236.58</t>
        </is>
      </c>
      <c r="E10" s="4" t="n">
        <v>49</v>
      </c>
      <c r="F10" s="4" t="inlineStr">
        <is>
          <t>$11,662.00</t>
        </is>
      </c>
      <c r="G10" s="4" t="inlineStr">
        <is>
          <t>$224.23</t>
        </is>
      </c>
      <c r="H10" s="4" t="inlineStr">
        <is>
          <t>$605.22</t>
        </is>
      </c>
      <c r="I10" s="4" t="inlineStr">
        <is>
          <t>43.6</t>
        </is>
      </c>
      <c r="J10" s="4" t="inlineStr">
        <is>
          <t>1.7</t>
        </is>
      </c>
      <c r="K10" s="4" t="inlineStr">
        <is>
          <t>RSI sweet spot, Healthy trend</t>
        </is>
      </c>
    </row>
    <row r="11">
      <c r="A11" s="4" t="inlineStr">
        <is>
          <t>MRK</t>
        </is>
      </c>
      <c r="B11" s="4" t="inlineStr">
        <is>
          <t>3.0</t>
        </is>
      </c>
      <c r="C11" s="13" t="inlineStr">
        <is>
          <t>MODERATE</t>
        </is>
      </c>
      <c r="D11" s="4" t="inlineStr">
        <is>
          <t>$116.38</t>
        </is>
      </c>
      <c r="E11" s="4" t="n">
        <v>100</v>
      </c>
      <c r="F11" s="4" t="inlineStr">
        <is>
          <t>$11,662.00</t>
        </is>
      </c>
      <c r="G11" s="4" t="inlineStr">
        <is>
          <t>$110.53</t>
        </is>
      </c>
      <c r="H11" s="4" t="inlineStr">
        <is>
          <t>$584.86</t>
        </is>
      </c>
      <c r="I11" s="4" t="inlineStr">
        <is>
          <t>68.5</t>
        </is>
      </c>
      <c r="J11" s="4" t="inlineStr">
        <is>
          <t>8.6</t>
        </is>
      </c>
      <c r="K11" s="4" t="inlineStr">
        <is>
          <t>Multi-setup, Vol confirm, RS leader</t>
        </is>
      </c>
    </row>
    <row r="12">
      <c r="A12" s="4" t="inlineStr">
        <is>
          <t>PM</t>
        </is>
      </c>
      <c r="B12" s="4" t="inlineStr">
        <is>
          <t>3.0</t>
        </is>
      </c>
      <c r="C12" s="13" t="inlineStr">
        <is>
          <t>MODERATE</t>
        </is>
      </c>
      <c r="D12" s="4" t="inlineStr">
        <is>
          <t>$178.82</t>
        </is>
      </c>
      <c r="E12" s="4" t="n">
        <v>65</v>
      </c>
      <c r="F12" s="4" t="inlineStr">
        <is>
          <t>$11,662.00</t>
        </is>
      </c>
      <c r="G12" s="4" t="inlineStr">
        <is>
          <t>$170.34</t>
        </is>
      </c>
      <c r="H12" s="4" t="inlineStr">
        <is>
          <t>$551.46</t>
        </is>
      </c>
      <c r="I12" s="4" t="inlineStr">
        <is>
          <t>71.6</t>
        </is>
      </c>
      <c r="J12" s="4" t="inlineStr">
        <is>
          <t>12.1</t>
        </is>
      </c>
      <c r="K12" s="4" t="inlineStr">
        <is>
          <t>Multi-setup, Overbought, RS leader</t>
        </is>
      </c>
    </row>
    <row r="13">
      <c r="A13" s="4" t="inlineStr">
        <is>
          <t>COST</t>
        </is>
      </c>
      <c r="B13" s="4" t="inlineStr">
        <is>
          <t>3.0</t>
        </is>
      </c>
      <c r="C13" s="13" t="inlineStr">
        <is>
          <t>MODERATE</t>
        </is>
      </c>
      <c r="D13" s="4" t="inlineStr">
        <is>
          <t>$977.03</t>
        </is>
      </c>
      <c r="E13" s="4" t="n">
        <v>11</v>
      </c>
      <c r="F13" s="4" t="inlineStr">
        <is>
          <t>$11,662.00</t>
        </is>
      </c>
      <c r="G13" s="4" t="inlineStr">
        <is>
          <t>$940.17</t>
        </is>
      </c>
      <c r="H13" s="4" t="inlineStr">
        <is>
          <t>$405.48</t>
        </is>
      </c>
      <c r="I13" s="4" t="inlineStr">
        <is>
          <t>63.7</t>
        </is>
      </c>
      <c r="J13" s="4" t="inlineStr">
        <is>
          <t>12.0</t>
        </is>
      </c>
      <c r="K13" s="4" t="inlineStr">
        <is>
          <t>RS leader, Healthy trend</t>
        </is>
      </c>
    </row>
    <row r="14">
      <c r="A14" s="4" t="inlineStr">
        <is>
          <t>MCD</t>
        </is>
      </c>
      <c r="B14" s="4" t="inlineStr">
        <is>
          <t>3.0</t>
        </is>
      </c>
      <c r="C14" s="13" t="inlineStr">
        <is>
          <t>MODERATE</t>
        </is>
      </c>
      <c r="D14" s="4" t="inlineStr">
        <is>
          <t>$320.07</t>
        </is>
      </c>
      <c r="E14" s="4" t="n">
        <v>36</v>
      </c>
      <c r="F14" s="4" t="inlineStr">
        <is>
          <t>$11,662.00</t>
        </is>
      </c>
      <c r="G14" s="4" t="inlineStr">
        <is>
          <t>$311.12</t>
        </is>
      </c>
      <c r="H14" s="4" t="inlineStr">
        <is>
          <t>$322.25</t>
        </is>
      </c>
      <c r="I14" s="4" t="inlineStr">
        <is>
          <t>68.7</t>
        </is>
      </c>
      <c r="J14" s="4" t="inlineStr">
        <is>
          <t>7.0</t>
        </is>
      </c>
      <c r="K14" s="4" t="inlineStr">
        <is>
          <t>RS leader, Healthy trend</t>
        </is>
      </c>
    </row>
    <row r="15">
      <c r="A15" s="4" t="inlineStr">
        <is>
          <t>CMCSA</t>
        </is>
      </c>
      <c r="B15" s="4" t="inlineStr">
        <is>
          <t>3.0</t>
        </is>
      </c>
      <c r="C15" s="13" t="inlineStr">
        <is>
          <t>MODERATE</t>
        </is>
      </c>
      <c r="D15" s="4" t="inlineStr">
        <is>
          <t>$29.79</t>
        </is>
      </c>
      <c r="E15" s="4" t="n">
        <v>391</v>
      </c>
      <c r="F15" s="4" t="inlineStr">
        <is>
          <t>$11,662.00</t>
        </is>
      </c>
      <c r="G15" s="4" t="inlineStr">
        <is>
          <t>$28.17</t>
        </is>
      </c>
      <c r="H15" s="4" t="inlineStr">
        <is>
          <t>$636.49</t>
        </is>
      </c>
      <c r="I15" s="4" t="inlineStr">
        <is>
          <t>65.8</t>
        </is>
      </c>
      <c r="J15" s="4" t="inlineStr">
        <is>
          <t>7.4</t>
        </is>
      </c>
      <c r="K15" s="4" t="inlineStr">
        <is>
          <t>RS leader, Healthy trend</t>
        </is>
      </c>
    </row>
    <row r="16">
      <c r="A16" s="4" t="inlineStr">
        <is>
          <t>COP</t>
        </is>
      </c>
      <c r="B16" s="4" t="inlineStr">
        <is>
          <t>3.0</t>
        </is>
      </c>
      <c r="C16" s="13" t="inlineStr">
        <is>
          <t>MODERATE</t>
        </is>
      </c>
      <c r="D16" s="4" t="inlineStr">
        <is>
          <t>$104.34</t>
        </is>
      </c>
      <c r="E16" s="4" t="n">
        <v>111</v>
      </c>
      <c r="F16" s="4" t="inlineStr">
        <is>
          <t>$11,662.00</t>
        </is>
      </c>
      <c r="G16" s="4" t="inlineStr">
        <is>
          <t>$98.82</t>
        </is>
      </c>
      <c r="H16" s="4" t="inlineStr">
        <is>
          <t>$612.24</t>
        </is>
      </c>
      <c r="I16" s="4" t="inlineStr">
        <is>
          <t>67.2</t>
        </is>
      </c>
      <c r="J16" s="4" t="inlineStr">
        <is>
          <t>5.4</t>
        </is>
      </c>
      <c r="K16" s="4" t="inlineStr">
        <is>
          <t>RS leader, Healthy trend</t>
        </is>
      </c>
    </row>
    <row r="17">
      <c r="A17" s="4" t="inlineStr">
        <is>
          <t>GOOGL</t>
        </is>
      </c>
      <c r="B17" s="4" t="inlineStr">
        <is>
          <t>2.0</t>
        </is>
      </c>
      <c r="C17" s="13" t="inlineStr">
        <is>
          <t>MODERATE</t>
        </is>
      </c>
      <c r="D17" s="4" t="inlineStr">
        <is>
          <t>$338.43</t>
        </is>
      </c>
      <c r="E17" s="4" t="n">
        <v>34</v>
      </c>
      <c r="F17" s="4" t="inlineStr">
        <is>
          <t>$11,662.00</t>
        </is>
      </c>
      <c r="G17" s="4" t="inlineStr">
        <is>
          <t>$321.44</t>
        </is>
      </c>
      <c r="H17" s="4" t="inlineStr">
        <is>
          <t>$577.64</t>
        </is>
      </c>
      <c r="I17" s="4" t="inlineStr">
        <is>
          <t>52.6</t>
        </is>
      </c>
      <c r="J17" s="4" t="inlineStr">
        <is>
          <t>7.2</t>
        </is>
      </c>
      <c r="K17" s="4" t="inlineStr">
        <is>
          <t>RSI sweet spot, RS leader, Extended</t>
        </is>
      </c>
    </row>
    <row r="18">
      <c r="A18" s="4" t="inlineStr">
        <is>
          <t>INTC</t>
        </is>
      </c>
      <c r="B18" s="4" t="inlineStr">
        <is>
          <t>2.0</t>
        </is>
      </c>
      <c r="C18" s="13" t="inlineStr">
        <is>
          <t>MODERATE</t>
        </is>
      </c>
      <c r="D18" s="4" t="inlineStr">
        <is>
          <t>$49.04</t>
        </is>
      </c>
      <c r="E18" s="4" t="n">
        <v>237</v>
      </c>
      <c r="F18" s="4" t="inlineStr">
        <is>
          <t>$11,662.00</t>
        </is>
      </c>
      <c r="G18" s="4" t="inlineStr">
        <is>
          <t>$41.71</t>
        </is>
      </c>
      <c r="H18" s="4" t="inlineStr">
        <is>
          <t>$1,736.19</t>
        </is>
      </c>
      <c r="I18" s="4" t="inlineStr">
        <is>
          <t>52.6</t>
        </is>
      </c>
      <c r="J18" s="4" t="inlineStr">
        <is>
          <t>24.8</t>
        </is>
      </c>
      <c r="K18" s="4" t="inlineStr">
        <is>
          <t>RSI sweet spot, RS leader, Extended</t>
        </is>
      </c>
    </row>
    <row r="19">
      <c r="A19" s="4" t="inlineStr">
        <is>
          <t>RTX</t>
        </is>
      </c>
      <c r="B19" s="7" t="inlineStr">
        <is>
          <t>1.0</t>
        </is>
      </c>
      <c r="C19" s="4" t="inlineStr">
        <is>
          <t>WEAK</t>
        </is>
      </c>
      <c r="D19" s="4" t="inlineStr">
        <is>
          <t>$202.94</t>
        </is>
      </c>
      <c r="E19" s="4" t="n">
        <v>41</v>
      </c>
      <c r="F19" s="4" t="inlineStr">
        <is>
          <t>$8,330.00</t>
        </is>
      </c>
      <c r="G19" s="4" t="inlineStr">
        <is>
          <t>$194.09</t>
        </is>
      </c>
      <c r="H19" s="4" t="inlineStr">
        <is>
          <t>$362.85</t>
        </is>
      </c>
      <c r="I19" s="4" t="inlineStr">
        <is>
          <t>64.6</t>
        </is>
      </c>
      <c r="J19" s="4" t="inlineStr">
        <is>
          <t>8.0</t>
        </is>
      </c>
      <c r="K19" s="4" t="inlineStr">
        <is>
          <t>RS leader, Extended</t>
        </is>
      </c>
    </row>
    <row r="22">
      <c r="A22" s="14" t="inlineStr">
        <is>
          <t>📉 SHORT CANDIDATES (SELL SHORT)</t>
        </is>
      </c>
    </row>
    <row r="23">
      <c r="A23" s="15" t="inlineStr">
        <is>
          <t>Ticker</t>
        </is>
      </c>
      <c r="B23" s="15" t="inlineStr">
        <is>
          <t>Score</t>
        </is>
      </c>
      <c r="C23" s="15" t="inlineStr">
        <is>
          <t>Conviction</t>
        </is>
      </c>
      <c r="D23" s="15" t="inlineStr">
        <is>
          <t>Price</t>
        </is>
      </c>
      <c r="E23" s="15" t="inlineStr">
        <is>
          <t>Shares</t>
        </is>
      </c>
      <c r="F23" s="15" t="inlineStr">
        <is>
          <t>Position $</t>
        </is>
      </c>
      <c r="G23" s="15" t="inlineStr">
        <is>
          <t>Stop (Cover)</t>
        </is>
      </c>
      <c r="H23" s="15" t="inlineStr">
        <is>
          <t>Risk $</t>
        </is>
      </c>
      <c r="I23" s="15" t="inlineStr">
        <is>
          <t>RSI</t>
        </is>
      </c>
      <c r="J23" s="15" t="inlineStr">
        <is>
          <t>RS vs SPY</t>
        </is>
      </c>
      <c r="K23" s="15" t="inlineStr">
        <is>
          <t>Reasons</t>
        </is>
      </c>
    </row>
    <row r="24">
      <c r="A24" s="4" t="inlineStr">
        <is>
          <t>ACN</t>
        </is>
      </c>
      <c r="B24" s="4" t="inlineStr">
        <is>
          <t>4.0</t>
        </is>
      </c>
      <c r="C24" s="15" t="inlineStr">
        <is>
          <t>STRONG</t>
        </is>
      </c>
      <c r="D24" s="4" t="inlineStr">
        <is>
          <t>$239.01</t>
        </is>
      </c>
      <c r="E24" s="4" t="n">
        <v>69</v>
      </c>
      <c r="F24" s="4" t="inlineStr">
        <is>
          <t>$16,660.00</t>
        </is>
      </c>
      <c r="G24" s="4" t="inlineStr">
        <is>
          <t>$260.59</t>
        </is>
      </c>
      <c r="H24" s="4" t="inlineStr">
        <is>
          <t>$1,488.92</t>
        </is>
      </c>
      <c r="I24" s="4" t="inlineStr">
        <is>
          <t>30.6</t>
        </is>
      </c>
      <c r="J24" s="4" t="inlineStr">
        <is>
          <t>-9.2</t>
        </is>
      </c>
      <c r="K24" s="4" t="inlineStr">
        <is>
          <t>Vol confirm, RS weak, Below 200 SMA</t>
        </is>
      </c>
    </row>
    <row r="25">
      <c r="A25" s="4" t="inlineStr">
        <is>
          <t>UNH</t>
        </is>
      </c>
      <c r="B25" s="4" t="inlineStr">
        <is>
          <t>4.0</t>
        </is>
      </c>
      <c r="C25" s="15" t="inlineStr">
        <is>
          <t>STRONG</t>
        </is>
      </c>
      <c r="D25" s="4" t="inlineStr">
        <is>
          <t>$282.81</t>
        </is>
      </c>
      <c r="E25" s="4" t="n">
        <v>58</v>
      </c>
      <c r="F25" s="4" t="inlineStr">
        <is>
          <t>$16,660.00</t>
        </is>
      </c>
      <c r="G25" s="4" t="inlineStr">
        <is>
          <t>$309.50</t>
        </is>
      </c>
      <c r="H25" s="4" t="inlineStr">
        <is>
          <t>$1,547.94</t>
        </is>
      </c>
      <c r="I25" s="4" t="inlineStr">
        <is>
          <t>31.0</t>
        </is>
      </c>
      <c r="J25" s="4" t="inlineStr">
        <is>
          <t>-17.1</t>
        </is>
      </c>
      <c r="K25" s="4" t="inlineStr">
        <is>
          <t>Multi-bearish, RS weak, Below 200 SMA</t>
        </is>
      </c>
    </row>
    <row r="26">
      <c r="A26" s="4" t="inlineStr">
        <is>
          <t>ORCL</t>
        </is>
      </c>
      <c r="B26" s="4" t="inlineStr">
        <is>
          <t>3.0</t>
        </is>
      </c>
      <c r="C26" s="4" t="inlineStr">
        <is>
          <t>MODERATE</t>
        </is>
      </c>
      <c r="D26" s="4" t="inlineStr">
        <is>
          <t>$152.18</t>
        </is>
      </c>
      <c r="E26" s="4" t="n">
        <v>76</v>
      </c>
      <c r="F26" s="4" t="inlineStr">
        <is>
          <t>$11,662.00</t>
        </is>
      </c>
      <c r="G26" s="4" t="inlineStr">
        <is>
          <t>$169.49</t>
        </is>
      </c>
      <c r="H26" s="4" t="inlineStr">
        <is>
          <t>$1,315.78</t>
        </is>
      </c>
      <c r="I26" s="4" t="inlineStr">
        <is>
          <t>15.1</t>
        </is>
      </c>
      <c r="J26" s="4" t="inlineStr">
        <is>
          <t>-20.5</t>
        </is>
      </c>
      <c r="K26" s="4" t="inlineStr">
        <is>
          <t>Oversold-risky, Vol confirm, RS weak</t>
        </is>
      </c>
    </row>
    <row r="27">
      <c r="A27" s="4" t="inlineStr">
        <is>
          <t>DIS</t>
        </is>
      </c>
      <c r="B27" s="4" t="inlineStr">
        <is>
          <t>3.0</t>
        </is>
      </c>
      <c r="C27" s="4" t="inlineStr">
        <is>
          <t>MODERATE</t>
        </is>
      </c>
      <c r="D27" s="4" t="inlineStr">
        <is>
          <t>$103.59</t>
        </is>
      </c>
      <c r="E27" s="4" t="n">
        <v>112</v>
      </c>
      <c r="F27" s="4" t="inlineStr">
        <is>
          <t>$11,662.00</t>
        </is>
      </c>
      <c r="G27" s="4" t="inlineStr">
        <is>
          <t>$109.06</t>
        </is>
      </c>
      <c r="H27" s="4" t="inlineStr">
        <is>
          <t>$612.64</t>
        </is>
      </c>
      <c r="I27" s="4" t="inlineStr">
        <is>
          <t>29.9</t>
        </is>
      </c>
      <c r="J27" s="4" t="inlineStr">
        <is>
          <t>-9.0</t>
        </is>
      </c>
      <c r="K27" s="4" t="inlineStr">
        <is>
          <t>Oversold-risky, Vol confirm, RS weak</t>
        </is>
      </c>
    </row>
    <row r="28">
      <c r="A28" s="4" t="inlineStr">
        <is>
          <t>CRM</t>
        </is>
      </c>
      <c r="B28" s="4" t="inlineStr">
        <is>
          <t>3.0</t>
        </is>
      </c>
      <c r="C28" s="4" t="inlineStr">
        <is>
          <t>MODERATE</t>
        </is>
      </c>
      <c r="D28" s="4" t="inlineStr">
        <is>
          <t>$193.90</t>
        </is>
      </c>
      <c r="E28" s="4" t="n">
        <v>60</v>
      </c>
      <c r="F28" s="4" t="inlineStr">
        <is>
          <t>$11,662.00</t>
        </is>
      </c>
      <c r="G28" s="4" t="inlineStr">
        <is>
          <t>$209.77</t>
        </is>
      </c>
      <c r="H28" s="4" t="inlineStr">
        <is>
          <t>$952.20</t>
        </is>
      </c>
      <c r="I28" s="4" t="inlineStr">
        <is>
          <t>14.2</t>
        </is>
      </c>
      <c r="J28" s="4" t="inlineStr">
        <is>
          <t>-24.1</t>
        </is>
      </c>
      <c r="K28" s="4" t="inlineStr">
        <is>
          <t>Oversold-risky, Vol confirm, RS weak</t>
        </is>
      </c>
    </row>
    <row r="29">
      <c r="A29" s="4" t="inlineStr">
        <is>
          <t>MSFT</t>
        </is>
      </c>
      <c r="B29" s="4" t="inlineStr">
        <is>
          <t>2.0</t>
        </is>
      </c>
      <c r="C29" s="4" t="inlineStr">
        <is>
          <t>MODERATE</t>
        </is>
      </c>
      <c r="D29" s="4" t="inlineStr">
        <is>
          <t>$409.24</t>
        </is>
      </c>
      <c r="E29" s="4" t="n">
        <v>28</v>
      </c>
      <c r="F29" s="4" t="inlineStr">
        <is>
          <t>$11,662.00</t>
        </is>
      </c>
      <c r="G29" s="4" t="inlineStr">
        <is>
          <t>$439.42</t>
        </is>
      </c>
      <c r="H29" s="4" t="inlineStr">
        <is>
          <t>$845.04</t>
        </is>
      </c>
      <c r="I29" s="4" t="inlineStr">
        <is>
          <t>28.5</t>
        </is>
      </c>
      <c r="J29" s="4" t="inlineStr">
        <is>
          <t>-13.2</t>
        </is>
      </c>
      <c r="K29" s="4" t="inlineStr">
        <is>
          <t>Oversold-risky, RS weak, Below 200 SMA</t>
        </is>
      </c>
    </row>
    <row r="30">
      <c r="A30" s="4" t="inlineStr">
        <is>
          <t>NFLX</t>
        </is>
      </c>
      <c r="B30" s="4" t="inlineStr">
        <is>
          <t>2.0</t>
        </is>
      </c>
      <c r="C30" s="4" t="inlineStr">
        <is>
          <t>MODERATE</t>
        </is>
      </c>
      <c r="D30" s="4" t="inlineStr">
        <is>
          <t>$79.91</t>
        </is>
      </c>
      <c r="E30" s="4" t="n">
        <v>145</v>
      </c>
      <c r="F30" s="4" t="inlineStr">
        <is>
          <t>$11,662.00</t>
        </is>
      </c>
      <c r="G30" s="4" t="inlineStr">
        <is>
          <t>$84.87</t>
        </is>
      </c>
      <c r="H30" s="4" t="inlineStr">
        <is>
          <t>$718.99</t>
        </is>
      </c>
      <c r="I30" s="4" t="inlineStr">
        <is>
          <t>17.9</t>
        </is>
      </c>
      <c r="J30" s="4" t="inlineStr">
        <is>
          <t>-12.4</t>
        </is>
      </c>
      <c r="K30" s="4" t="inlineStr">
        <is>
          <t>Oversold-risky, RS weak, Below 200 SMA</t>
        </is>
      </c>
    </row>
    <row r="31">
      <c r="A31" s="4" t="inlineStr">
        <is>
          <t>ADBE</t>
        </is>
      </c>
      <c r="B31" s="4" t="inlineStr">
        <is>
          <t>2.0</t>
        </is>
      </c>
      <c r="C31" s="4" t="inlineStr">
        <is>
          <t>MODERATE</t>
        </is>
      </c>
      <c r="D31" s="4" t="inlineStr">
        <is>
          <t>$272.30</t>
        </is>
      </c>
      <c r="E31" s="4" t="n">
        <v>42</v>
      </c>
      <c r="F31" s="4" t="inlineStr">
        <is>
          <t>$11,662.00</t>
        </is>
      </c>
      <c r="G31" s="4" t="inlineStr">
        <is>
          <t>$289.67</t>
        </is>
      </c>
      <c r="H31" s="4" t="inlineStr">
        <is>
          <t>$729.66</t>
        </is>
      </c>
      <c r="I31" s="4" t="inlineStr">
        <is>
          <t>24.6</t>
        </is>
      </c>
      <c r="J31" s="4" t="inlineStr">
        <is>
          <t>-17.6</t>
        </is>
      </c>
      <c r="K31" s="4" t="inlineStr">
        <is>
          <t>Oversold-risky, RS weak, Below 200 SMA</t>
        </is>
      </c>
    </row>
    <row r="32">
      <c r="A32" s="4" t="inlineStr">
        <is>
          <t>NKE</t>
        </is>
      </c>
      <c r="B32" s="4" t="inlineStr">
        <is>
          <t>2.0</t>
        </is>
      </c>
      <c r="C32" s="4" t="inlineStr">
        <is>
          <t>MODERATE</t>
        </is>
      </c>
      <c r="D32" s="4" t="inlineStr">
        <is>
          <t>$60.66</t>
        </is>
      </c>
      <c r="E32" s="4" t="n">
        <v>192</v>
      </c>
      <c r="F32" s="4" t="inlineStr">
        <is>
          <t>$11,662.00</t>
        </is>
      </c>
      <c r="G32" s="4" t="inlineStr">
        <is>
          <t>$63.70</t>
        </is>
      </c>
      <c r="H32" s="4" t="inlineStr">
        <is>
          <t>$584.23</t>
        </is>
      </c>
      <c r="I32" s="4" t="inlineStr">
        <is>
          <t>23.8</t>
        </is>
      </c>
      <c r="J32" s="4" t="inlineStr">
        <is>
          <t>-5.8</t>
        </is>
      </c>
      <c r="K32" s="4" t="inlineStr">
        <is>
          <t>Oversold-risky, RS weak, Below 200 SMA</t>
        </is>
      </c>
    </row>
    <row r="33">
      <c r="A33" s="4" t="inlineStr">
        <is>
          <t>DHR</t>
        </is>
      </c>
      <c r="B33" s="4" t="inlineStr">
        <is>
          <t>2.0</t>
        </is>
      </c>
      <c r="C33" s="4" t="inlineStr">
        <is>
          <t>MODERATE</t>
        </is>
      </c>
      <c r="D33" s="4" t="inlineStr">
        <is>
          <t>$217.80</t>
        </is>
      </c>
      <c r="E33" s="4" t="n">
        <v>53</v>
      </c>
      <c r="F33" s="4" t="inlineStr">
        <is>
          <t>$11,662.00</t>
        </is>
      </c>
      <c r="G33" s="4" t="inlineStr">
        <is>
          <t>$230.27</t>
        </is>
      </c>
      <c r="H33" s="4" t="inlineStr">
        <is>
          <t>$661.06</t>
        </is>
      </c>
      <c r="I33" s="4" t="inlineStr">
        <is>
          <t>33.7</t>
        </is>
      </c>
      <c r="J33" s="4" t="inlineStr">
        <is>
          <t>-7.2</t>
        </is>
      </c>
      <c r="K33" s="4" t="inlineStr">
        <is>
          <t>RS weak</t>
        </is>
      </c>
    </row>
    <row r="34">
      <c r="A34" s="4" t="inlineStr">
        <is>
          <t>ABT</t>
        </is>
      </c>
      <c r="B34" s="4" t="inlineStr">
        <is>
          <t>2.0</t>
        </is>
      </c>
      <c r="C34" s="4" t="inlineStr">
        <is>
          <t>MODERATE</t>
        </is>
      </c>
      <c r="D34" s="4" t="inlineStr">
        <is>
          <t>$108.78</t>
        </is>
      </c>
      <c r="E34" s="4" t="n">
        <v>107</v>
      </c>
      <c r="F34" s="4" t="inlineStr">
        <is>
          <t>$11,662.00</t>
        </is>
      </c>
      <c r="G34" s="4" t="inlineStr">
        <is>
          <t>$115.60</t>
        </is>
      </c>
      <c r="H34" s="4" t="inlineStr">
        <is>
          <t>$729.43</t>
        </is>
      </c>
      <c r="I34" s="4" t="inlineStr">
        <is>
          <t>21.0</t>
        </is>
      </c>
      <c r="J34" s="4" t="inlineStr">
        <is>
          <t>-13.3</t>
        </is>
      </c>
      <c r="K34" s="4" t="inlineStr">
        <is>
          <t>Oversold-risky, RS weak, Below 200 SMA</t>
        </is>
      </c>
    </row>
    <row r="35">
      <c r="A35" s="4" t="inlineStr">
        <is>
          <t>TMO</t>
        </is>
      </c>
      <c r="B35" s="4" t="inlineStr">
        <is>
          <t>2.0</t>
        </is>
      </c>
      <c r="C35" s="4" t="inlineStr">
        <is>
          <t>MODERATE</t>
        </is>
      </c>
      <c r="D35" s="4" t="inlineStr">
        <is>
          <t>$569.77</t>
        </is>
      </c>
      <c r="E35" s="4" t="n">
        <v>20</v>
      </c>
      <c r="F35" s="4" t="inlineStr">
        <is>
          <t>$11,662.00</t>
        </is>
      </c>
      <c r="G35" s="4" t="inlineStr">
        <is>
          <t>$601.37</t>
        </is>
      </c>
      <c r="H35" s="4" t="inlineStr">
        <is>
          <t>$632.20</t>
        </is>
      </c>
      <c r="I35" s="4" t="inlineStr">
        <is>
          <t>34.6</t>
        </is>
      </c>
      <c r="J35" s="4" t="inlineStr">
        <is>
          <t>-6.5</t>
        </is>
      </c>
      <c r="K35" s="4" t="inlineStr">
        <is>
          <t>RS weak</t>
        </is>
      </c>
    </row>
    <row r="36">
      <c r="A36" s="4" t="inlineStr">
        <is>
          <t>TSLA</t>
        </is>
      </c>
      <c r="B36" s="4" t="inlineStr">
        <is>
          <t>2.0</t>
        </is>
      </c>
      <c r="C36" s="4" t="inlineStr">
        <is>
          <t>MODERATE</t>
        </is>
      </c>
      <c r="D36" s="4" t="inlineStr">
        <is>
          <t>$416.79</t>
        </is>
      </c>
      <c r="E36" s="4" t="n">
        <v>27</v>
      </c>
      <c r="F36" s="4" t="inlineStr">
        <is>
          <t>$11,662.00</t>
        </is>
      </c>
      <c r="G36" s="4" t="inlineStr">
        <is>
          <t>$446.45</t>
        </is>
      </c>
      <c r="H36" s="4" t="inlineStr">
        <is>
          <t>$800.82</t>
        </is>
      </c>
      <c r="I36" s="4" t="inlineStr">
        <is>
          <t>37.3</t>
        </is>
      </c>
      <c r="J36" s="4" t="inlineStr">
        <is>
          <t>-7.5</t>
        </is>
      </c>
      <c r="K36" s="4" t="inlineStr">
        <is>
          <t>RS weak</t>
        </is>
      </c>
    </row>
    <row r="37">
      <c r="A37" s="4" t="inlineStr">
        <is>
          <t>BRK-B</t>
        </is>
      </c>
      <c r="B37" s="4" t="inlineStr">
        <is>
          <t>1.5</t>
        </is>
      </c>
      <c r="C37" s="4" t="inlineStr">
        <is>
          <t>WEAK</t>
        </is>
      </c>
      <c r="D37" s="4" t="inlineStr">
        <is>
          <t>$495.64</t>
        </is>
      </c>
      <c r="E37" s="4" t="n">
        <v>16</v>
      </c>
      <c r="F37" s="4" t="inlineStr">
        <is>
          <t>$8,330.00</t>
        </is>
      </c>
      <c r="G37" s="4" t="inlineStr">
        <is>
          <t>$509.39</t>
        </is>
      </c>
      <c r="H37" s="4" t="inlineStr">
        <is>
          <t>$220.00</t>
        </is>
      </c>
      <c r="I37" s="4" t="inlineStr">
        <is>
          <t>50.4</t>
        </is>
      </c>
      <c r="J37" s="4" t="inlineStr">
        <is>
          <t>-0.3</t>
        </is>
      </c>
      <c r="K37" s="4" t="inlineStr"/>
    </row>
    <row r="38">
      <c r="A38" s="4" t="inlineStr">
        <is>
          <t>PEP</t>
        </is>
      </c>
      <c r="B38" s="4" t="inlineStr">
        <is>
          <t>1.0</t>
        </is>
      </c>
      <c r="C38" s="4" t="inlineStr">
        <is>
          <t>WEAK</t>
        </is>
      </c>
      <c r="D38" s="4" t="inlineStr">
        <is>
          <t>$162.56</t>
        </is>
      </c>
      <c r="E38" s="4" t="n">
        <v>51</v>
      </c>
      <c r="F38" s="4" t="inlineStr">
        <is>
          <t>$8,330.00</t>
        </is>
      </c>
      <c r="G38" s="4" t="inlineStr">
        <is>
          <t>$168.94</t>
        </is>
      </c>
      <c r="H38" s="4" t="inlineStr">
        <is>
          <t>$325.45</t>
        </is>
      </c>
      <c r="I38" s="4" t="inlineStr">
        <is>
          <t>85.8</t>
        </is>
      </c>
      <c r="J38" s="4" t="inlineStr">
        <is>
          <t>16.4</t>
        </is>
      </c>
      <c r="K38" s="4" t="inlineStr">
        <is>
          <t>Has bullish, Overbought, Vol confirm</t>
        </is>
      </c>
    </row>
    <row r="39">
      <c r="A39" s="4" t="inlineStr">
        <is>
          <t>T</t>
        </is>
      </c>
      <c r="B39" s="4" t="inlineStr">
        <is>
          <t>1.0</t>
        </is>
      </c>
      <c r="C39" s="4" t="inlineStr">
        <is>
          <t>WEAK</t>
        </is>
      </c>
      <c r="D39" s="4" t="inlineStr">
        <is>
          <t>$26.89</t>
        </is>
      </c>
      <c r="E39" s="4" t="n">
        <v>309</v>
      </c>
      <c r="F39" s="4" t="inlineStr">
        <is>
          <t>$8,330.00</t>
        </is>
      </c>
      <c r="G39" s="4" t="inlineStr">
        <is>
          <t>$28.06</t>
        </is>
      </c>
      <c r="H39" s="4" t="inlineStr">
        <is>
          <t>$361.75</t>
        </is>
      </c>
      <c r="I39" s="4" t="inlineStr">
        <is>
          <t>83.7</t>
        </is>
      </c>
      <c r="J39" s="4" t="inlineStr">
        <is>
          <t>10.3</t>
        </is>
      </c>
      <c r="K39" s="4" t="inlineStr">
        <is>
          <t>Has bullish, Overbought</t>
        </is>
      </c>
    </row>
    <row r="40">
      <c r="A40" s="4" t="inlineStr">
        <is>
          <t>AVGO</t>
        </is>
      </c>
      <c r="B40" s="4" t="inlineStr">
        <is>
          <t>1.0</t>
        </is>
      </c>
      <c r="C40" s="4" t="inlineStr">
        <is>
          <t>WEAK</t>
        </is>
      </c>
      <c r="D40" s="4" t="inlineStr">
        <is>
          <t>$311.12</t>
        </is>
      </c>
      <c r="E40" s="4" t="n">
        <v>26</v>
      </c>
      <c r="F40" s="4" t="inlineStr">
        <is>
          <t>$8,330.00</t>
        </is>
      </c>
      <c r="G40" s="4" t="inlineStr">
        <is>
          <t>$339.24</t>
        </is>
      </c>
      <c r="H40" s="4" t="inlineStr">
        <is>
          <t>$731.12</t>
        </is>
      </c>
      <c r="I40" s="4" t="inlineStr">
        <is>
          <t>27.0</t>
        </is>
      </c>
      <c r="J40" s="4" t="inlineStr">
        <is>
          <t>-9.2</t>
        </is>
      </c>
      <c r="K40" s="4" t="inlineStr">
        <is>
          <t>Oversold-risky, RS weak</t>
        </is>
      </c>
    </row>
    <row r="41">
      <c r="A41" s="4" t="inlineStr">
        <is>
          <t>KO</t>
        </is>
      </c>
      <c r="B41" s="4" t="inlineStr">
        <is>
          <t>1.0</t>
        </is>
      </c>
      <c r="C41" s="4" t="inlineStr">
        <is>
          <t>WEAK</t>
        </is>
      </c>
      <c r="D41" s="4" t="inlineStr">
        <is>
          <t>$76.80</t>
        </is>
      </c>
      <c r="E41" s="4" t="n">
        <v>108</v>
      </c>
      <c r="F41" s="4" t="inlineStr">
        <is>
          <t>$8,330.00</t>
        </is>
      </c>
      <c r="G41" s="4" t="inlineStr">
        <is>
          <t>$79.28</t>
        </is>
      </c>
      <c r="H41" s="4" t="inlineStr">
        <is>
          <t>$268.15</t>
        </is>
      </c>
      <c r="I41" s="4" t="inlineStr">
        <is>
          <t>79.4</t>
        </is>
      </c>
      <c r="J41" s="4" t="inlineStr">
        <is>
          <t>13.3</t>
        </is>
      </c>
      <c r="K41" s="4" t="inlineStr">
        <is>
          <t>Has bullish, Overbought</t>
        </is>
      </c>
    </row>
    <row r="42">
      <c r="A42" s="4" t="inlineStr">
        <is>
          <t>PG</t>
        </is>
      </c>
      <c r="B42" s="4" t="inlineStr">
        <is>
          <t>1.0</t>
        </is>
      </c>
      <c r="C42" s="4" t="inlineStr">
        <is>
          <t>WEAK</t>
        </is>
      </c>
      <c r="D42" s="4" t="inlineStr">
        <is>
          <t>$155.62</t>
        </is>
      </c>
      <c r="E42" s="4" t="n">
        <v>53</v>
      </c>
      <c r="F42" s="4" t="inlineStr">
        <is>
          <t>$8,330.00</t>
        </is>
      </c>
      <c r="G42" s="4" t="inlineStr">
        <is>
          <t>$160.93</t>
        </is>
      </c>
      <c r="H42" s="4" t="inlineStr">
        <is>
          <t>$281.28</t>
        </is>
      </c>
      <c r="I42" s="4" t="inlineStr">
        <is>
          <t>76.4</t>
        </is>
      </c>
      <c r="J42" s="4" t="inlineStr">
        <is>
          <t>11.9</t>
        </is>
      </c>
      <c r="K42" s="4" t="inlineStr">
        <is>
          <t>Has bullish, Overbought</t>
        </is>
      </c>
    </row>
    <row r="43">
      <c r="A43" s="4" t="inlineStr">
        <is>
          <t>VZ</t>
        </is>
      </c>
      <c r="B43" s="4" t="inlineStr">
        <is>
          <t>1.0</t>
        </is>
      </c>
      <c r="C43" s="4" t="inlineStr">
        <is>
          <t>WEAK</t>
        </is>
      </c>
      <c r="D43" s="4" t="inlineStr">
        <is>
          <t>$46.62</t>
        </is>
      </c>
      <c r="E43" s="4" t="n">
        <v>178</v>
      </c>
      <c r="F43" s="4" t="inlineStr">
        <is>
          <t>$8,330.00</t>
        </is>
      </c>
      <c r="G43" s="4" t="inlineStr">
        <is>
          <t>$48.72</t>
        </is>
      </c>
      <c r="H43" s="4" t="inlineStr">
        <is>
          <t>$372.53</t>
        </is>
      </c>
      <c r="I43" s="4" t="inlineStr">
        <is>
          <t>87.9</t>
        </is>
      </c>
      <c r="J43" s="4" t="inlineStr">
        <is>
          <t>18.1</t>
        </is>
      </c>
      <c r="K43" s="4" t="inlineStr">
        <is>
          <t>Has bullish, Overbought</t>
        </is>
      </c>
    </row>
    <row r="44">
      <c r="A44" s="4" t="inlineStr">
        <is>
          <t>XOM</t>
        </is>
      </c>
      <c r="B44" s="4" t="inlineStr">
        <is>
          <t>1.0</t>
        </is>
      </c>
      <c r="C44" s="4" t="inlineStr">
        <is>
          <t>WEAK</t>
        </is>
      </c>
      <c r="D44" s="4" t="inlineStr">
        <is>
          <t>$143.55</t>
        </is>
      </c>
      <c r="E44" s="4" t="n">
        <v>58</v>
      </c>
      <c r="F44" s="4" t="inlineStr">
        <is>
          <t>$8,330.00</t>
        </is>
      </c>
      <c r="G44" s="4" t="inlineStr">
        <is>
          <t>$149.82</t>
        </is>
      </c>
      <c r="H44" s="4" t="inlineStr">
        <is>
          <t>$363.49</t>
        </is>
      </c>
      <c r="I44" s="4" t="inlineStr">
        <is>
          <t>83.5</t>
        </is>
      </c>
      <c r="J44" s="4" t="inlineStr">
        <is>
          <t>14.7</t>
        </is>
      </c>
      <c r="K44" s="4" t="inlineStr">
        <is>
          <t>Has bullish, Overbought, Vol confirm</t>
        </is>
      </c>
    </row>
    <row r="45">
      <c r="A45" s="4" t="inlineStr">
        <is>
          <t>NEE</t>
        </is>
      </c>
      <c r="B45" s="4" t="inlineStr">
        <is>
          <t>0.0</t>
        </is>
      </c>
      <c r="C45" s="4" t="inlineStr">
        <is>
          <t>WEAK</t>
        </is>
      </c>
      <c r="D45" s="4" t="inlineStr">
        <is>
          <t>$88.54</t>
        </is>
      </c>
      <c r="E45" s="4" t="n">
        <v>94</v>
      </c>
      <c r="F45" s="4" t="inlineStr">
        <is>
          <t>$8,330.00</t>
        </is>
      </c>
      <c r="G45" s="4" t="inlineStr">
        <is>
          <t>$92.41</t>
        </is>
      </c>
      <c r="H45" s="4" t="inlineStr">
        <is>
          <t>$363.65</t>
        </is>
      </c>
      <c r="I45" s="4" t="inlineStr">
        <is>
          <t>80.4</t>
        </is>
      </c>
      <c r="J45" s="4" t="inlineStr">
        <is>
          <t>9.1</t>
        </is>
      </c>
      <c r="K45" s="4" t="inlineStr">
        <is>
          <t>Has bullish, Overbought</t>
        </is>
      </c>
    </row>
    <row r="46">
      <c r="A46" s="4" t="inlineStr">
        <is>
          <t>TXN</t>
        </is>
      </c>
      <c r="B46" s="4" t="inlineStr">
        <is>
          <t>0.0</t>
        </is>
      </c>
      <c r="C46" s="4" t="inlineStr">
        <is>
          <t>WEAK</t>
        </is>
      </c>
      <c r="D46" s="4" t="inlineStr">
        <is>
          <t>$224.27</t>
        </is>
      </c>
      <c r="E46" s="4" t="n">
        <v>37</v>
      </c>
      <c r="F46" s="4" t="inlineStr">
        <is>
          <t>$8,330.00</t>
        </is>
      </c>
      <c r="G46" s="4" t="inlineStr">
        <is>
          <t>$237.93</t>
        </is>
      </c>
      <c r="H46" s="4" t="inlineStr">
        <is>
          <t>$505.33</t>
        </is>
      </c>
      <c r="I46" s="4" t="inlineStr">
        <is>
          <t>81.7</t>
        </is>
      </c>
      <c r="J46" s="4" t="inlineStr">
        <is>
          <t>27.6</t>
        </is>
      </c>
      <c r="K46" s="4" t="inlineStr">
        <is>
          <t>Has bullish, Overbought</t>
        </is>
      </c>
    </row>
    <row r="47">
      <c r="A47" s="4" t="inlineStr">
        <is>
          <t>CSCO</t>
        </is>
      </c>
      <c r="B47" s="4" t="inlineStr">
        <is>
          <t>0.0</t>
        </is>
      </c>
      <c r="C47" s="4" t="inlineStr">
        <is>
          <t>WEAK</t>
        </is>
      </c>
      <c r="D47" s="4" t="inlineStr">
        <is>
          <t>$82.66</t>
        </is>
      </c>
      <c r="E47" s="4" t="n">
        <v>100</v>
      </c>
      <c r="F47" s="4" t="inlineStr">
        <is>
          <t>$8,330.00</t>
        </is>
      </c>
      <c r="G47" s="4" t="inlineStr">
        <is>
          <t>$86.22</t>
        </is>
      </c>
      <c r="H47" s="4" t="inlineStr">
        <is>
          <t>$355.71</t>
        </is>
      </c>
      <c r="I47" s="4" t="inlineStr">
        <is>
          <t>75.0</t>
        </is>
      </c>
      <c r="J47" s="4" t="inlineStr">
        <is>
          <t>9.6</t>
        </is>
      </c>
      <c r="K47" s="4" t="inlineStr">
        <is>
          <t>Has bullish, Overbought</t>
        </is>
      </c>
    </row>
    <row r="48">
      <c r="A48" s="4" t="inlineStr">
        <is>
          <t>WMT</t>
        </is>
      </c>
      <c r="B48" s="4" t="inlineStr">
        <is>
          <t>0.0</t>
        </is>
      </c>
      <c r="C48" s="4" t="inlineStr">
        <is>
          <t>WEAK</t>
        </is>
      </c>
      <c r="D48" s="4" t="inlineStr">
        <is>
          <t>$126.98</t>
        </is>
      </c>
      <c r="E48" s="4" t="n">
        <v>65</v>
      </c>
      <c r="F48" s="4" t="inlineStr">
        <is>
          <t>$8,330.00</t>
        </is>
      </c>
      <c r="G48" s="4" t="inlineStr">
        <is>
          <t>$132.34</t>
        </is>
      </c>
      <c r="H48" s="4" t="inlineStr">
        <is>
          <t>$348.07</t>
        </is>
      </c>
      <c r="I48" s="4" t="inlineStr">
        <is>
          <t>70.1</t>
        </is>
      </c>
      <c r="J48" s="4" t="inlineStr">
        <is>
          <t>12.9</t>
        </is>
      </c>
      <c r="K48" s="4" t="inlineStr">
        <is>
          <t>Has bullish, Overbought</t>
        </is>
      </c>
    </row>
    <row r="49">
      <c r="A49" s="4" t="inlineStr">
        <is>
          <t>CVX</t>
        </is>
      </c>
      <c r="B49" s="4" t="inlineStr">
        <is>
          <t>0.0</t>
        </is>
      </c>
      <c r="C49" s="4" t="inlineStr">
        <is>
          <t>WEAK</t>
        </is>
      </c>
      <c r="D49" s="4" t="inlineStr">
        <is>
          <t>$177.26</t>
        </is>
      </c>
      <c r="E49" s="4" t="n">
        <v>46</v>
      </c>
      <c r="F49" s="4" t="inlineStr">
        <is>
          <t>$8,330.00</t>
        </is>
      </c>
      <c r="G49" s="4" t="inlineStr">
        <is>
          <t>$183.67</t>
        </is>
      </c>
      <c r="H49" s="4" t="inlineStr">
        <is>
          <t>$294.83</t>
        </is>
      </c>
      <c r="I49" s="4" t="inlineStr">
        <is>
          <t>78.7</t>
        </is>
      </c>
      <c r="J49" s="4" t="inlineStr">
        <is>
          <t>8.4</t>
        </is>
      </c>
      <c r="K49" s="4" t="inlineStr">
        <is>
          <t>Has bullish, Overbought</t>
        </is>
      </c>
    </row>
    <row r="50">
      <c r="A50" s="4" t="inlineStr">
        <is>
          <t>JNJ</t>
        </is>
      </c>
      <c r="B50" s="4" t="inlineStr">
        <is>
          <t>0.0</t>
        </is>
      </c>
      <c r="C50" s="4" t="inlineStr">
        <is>
          <t>WEAK</t>
        </is>
      </c>
      <c r="D50" s="4" t="inlineStr">
        <is>
          <t>$234.76</t>
        </is>
      </c>
      <c r="E50" s="4" t="n">
        <v>35</v>
      </c>
      <c r="F50" s="4" t="inlineStr">
        <is>
          <t>$8,330.00</t>
        </is>
      </c>
      <c r="G50" s="4" t="inlineStr">
        <is>
          <t>$242.86</t>
        </is>
      </c>
      <c r="H50" s="4" t="inlineStr">
        <is>
          <t>$283.35</t>
        </is>
      </c>
      <c r="I50" s="4" t="inlineStr">
        <is>
          <t>91.9</t>
        </is>
      </c>
      <c r="J50" s="4" t="inlineStr">
        <is>
          <t>15.1</t>
        </is>
      </c>
      <c r="K50" s="4" t="inlineStr">
        <is>
          <t>Has bullish, Overbought</t>
        </is>
      </c>
    </row>
  </sheetData>
  <mergeCells count="3">
    <mergeCell ref="A22:K22"/>
    <mergeCell ref="A5:K5"/>
    <mergeCell ref="A1:L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68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4" customWidth="1" min="3" max="3"/>
    <col width="11" customWidth="1" min="4" max="4"/>
    <col width="10" customWidth="1" min="5" max="5"/>
    <col width="7" customWidth="1" min="6" max="6"/>
    <col width="11" customWidth="1" min="7" max="7"/>
    <col width="9" customWidth="1" min="8" max="8"/>
    <col width="9" customWidth="1" min="9" max="9"/>
    <col width="11" customWidth="1" min="10" max="10"/>
    <col width="10" customWidth="1" min="11" max="11"/>
    <col width="11" customWidth="1" min="12" max="12"/>
    <col width="10" customWidth="1" min="13" max="13"/>
    <col width="8" customWidth="1" min="14" max="14"/>
    <col width="9" customWidth="1" min="15" max="15"/>
    <col width="22" customWidth="1" min="16" max="16"/>
  </cols>
  <sheetData>
    <row r="1">
      <c r="A1" s="1" t="inlineStr">
        <is>
          <t>TRADE JOURNAL - Track Your Entries &amp; Exits (LONG &amp; SHORT)</t>
        </is>
      </c>
    </row>
    <row r="2">
      <c r="A2" s="16" t="inlineStr">
        <is>
          <t>Instructions: Fill in columns A-I when entering. Fill in J-L when exiting. P&amp;L auto-calculates based on Direction (LONG/SHORT).</t>
        </is>
      </c>
    </row>
    <row r="3">
      <c r="A3" s="17" t="inlineStr">
        <is>
          <t>Direction: LONG = buy then sell | SHORT = sell then buy to cover. For shorts, profit = entry - exit.</t>
        </is>
      </c>
    </row>
    <row r="5">
      <c r="A5" s="3" t="inlineStr">
        <is>
          <t>Ticker</t>
        </is>
      </c>
      <c r="B5" s="3" t="inlineStr">
        <is>
          <t>Direction</t>
        </is>
      </c>
      <c r="C5" s="3" t="inlineStr">
        <is>
          <t>Setup</t>
        </is>
      </c>
      <c r="D5" s="3" t="inlineStr">
        <is>
          <t>Entry Date</t>
        </is>
      </c>
      <c r="E5" s="3" t="inlineStr">
        <is>
          <t>Entry Price</t>
        </is>
      </c>
      <c r="F5" s="3" t="inlineStr">
        <is>
          <t>Shares</t>
        </is>
      </c>
      <c r="G5" s="3" t="inlineStr">
        <is>
          <t>Position $</t>
        </is>
      </c>
      <c r="H5" s="3" t="inlineStr">
        <is>
          <t>Stop</t>
        </is>
      </c>
      <c r="I5" s="3" t="inlineStr">
        <is>
          <t>Target</t>
        </is>
      </c>
      <c r="J5" s="3" t="inlineStr">
        <is>
          <t>Exit Date</t>
        </is>
      </c>
      <c r="K5" s="3" t="inlineStr">
        <is>
          <t>Exit Price</t>
        </is>
      </c>
      <c r="L5" s="3" t="inlineStr">
        <is>
          <t>Exit Reason</t>
        </is>
      </c>
      <c r="M5" s="3" t="inlineStr">
        <is>
          <t>P&amp;L $</t>
        </is>
      </c>
      <c r="N5" s="3" t="inlineStr">
        <is>
          <t>P&amp;L %</t>
        </is>
      </c>
      <c r="O5" s="3" t="inlineStr">
        <is>
          <t>Hold Days</t>
        </is>
      </c>
      <c r="P5" s="3" t="inlineStr">
        <is>
          <t>Notes</t>
        </is>
      </c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>
        <f>IF(AND(K6&lt;&gt;"",E6&lt;&gt;"",F6&lt;&gt;""),IF(B6="SHORT",(E6-K6)*F6,(K6-E6)*F6),"")</f>
        <v/>
      </c>
      <c r="N6" s="4">
        <f>IF(AND(K6&lt;&gt;"",E6&lt;&gt;""),IF(B6="SHORT",(E6-K6)/E6*100,(K6-E6)/E6*100),"")</f>
        <v/>
      </c>
      <c r="O6" s="4">
        <f>IF(AND(J6&lt;&gt;"",D6&lt;&gt;""),J6-D6,"")</f>
        <v/>
      </c>
      <c r="P6" s="4" t="n"/>
    </row>
    <row r="7">
      <c r="A7" s="4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>
        <f>IF(AND(K7&lt;&gt;"",E7&lt;&gt;"",F7&lt;&gt;""),IF(B7="SHORT",(E7-K7)*F7,(K7-E7)*F7),"")</f>
        <v/>
      </c>
      <c r="N7" s="4">
        <f>IF(AND(K7&lt;&gt;"",E7&lt;&gt;""),IF(B7="SHORT",(E7-K7)/E7*100,(K7-E7)/E7*100),"")</f>
        <v/>
      </c>
      <c r="O7" s="4">
        <f>IF(AND(J7&lt;&gt;"",D7&lt;&gt;""),J7-D7,"")</f>
        <v/>
      </c>
      <c r="P7" s="4" t="n"/>
    </row>
    <row r="8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>
        <f>IF(AND(K8&lt;&gt;"",E8&lt;&gt;"",F8&lt;&gt;""),IF(B8="SHORT",(E8-K8)*F8,(K8-E8)*F8),"")</f>
        <v/>
      </c>
      <c r="N8" s="4">
        <f>IF(AND(K8&lt;&gt;"",E8&lt;&gt;""),IF(B8="SHORT",(E8-K8)/E8*100,(K8-E8)/E8*100),"")</f>
        <v/>
      </c>
      <c r="O8" s="4">
        <f>IF(AND(J8&lt;&gt;"",D8&lt;&gt;""),J8-D8,"")</f>
        <v/>
      </c>
      <c r="P8" s="4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>
        <f>IF(AND(K9&lt;&gt;"",E9&lt;&gt;"",F9&lt;&gt;""),IF(B9="SHORT",(E9-K9)*F9,(K9-E9)*F9),"")</f>
        <v/>
      </c>
      <c r="N9" s="4">
        <f>IF(AND(K9&lt;&gt;"",E9&lt;&gt;""),IF(B9="SHORT",(E9-K9)/E9*100,(K9-E9)/E9*100),"")</f>
        <v/>
      </c>
      <c r="O9" s="4">
        <f>IF(AND(J9&lt;&gt;"",D9&lt;&gt;""),J9-D9,"")</f>
        <v/>
      </c>
      <c r="P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>
        <f>IF(AND(K10&lt;&gt;"",E10&lt;&gt;"",F10&lt;&gt;""),IF(B10="SHORT",(E10-K10)*F10,(K10-E10)*F10),"")</f>
        <v/>
      </c>
      <c r="N10" s="4">
        <f>IF(AND(K10&lt;&gt;"",E10&lt;&gt;""),IF(B10="SHORT",(E10-K10)/E10*100,(K10-E10)/E10*100),"")</f>
        <v/>
      </c>
      <c r="O10" s="4">
        <f>IF(AND(J10&lt;&gt;"",D10&lt;&gt;""),J10-D10,"")</f>
        <v/>
      </c>
      <c r="P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>
        <f>IF(AND(K11&lt;&gt;"",E11&lt;&gt;"",F11&lt;&gt;""),IF(B11="SHORT",(E11-K11)*F11,(K11-E11)*F11),"")</f>
        <v/>
      </c>
      <c r="N11" s="4">
        <f>IF(AND(K11&lt;&gt;"",E11&lt;&gt;""),IF(B11="SHORT",(E11-K11)/E11*100,(K11-E11)/E11*100),"")</f>
        <v/>
      </c>
      <c r="O11" s="4">
        <f>IF(AND(J11&lt;&gt;"",D11&lt;&gt;""),J11-D11,"")</f>
        <v/>
      </c>
      <c r="P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>
        <f>IF(AND(K12&lt;&gt;"",E12&lt;&gt;"",F12&lt;&gt;""),IF(B12="SHORT",(E12-K12)*F12,(K12-E12)*F12),"")</f>
        <v/>
      </c>
      <c r="N12" s="4">
        <f>IF(AND(K12&lt;&gt;"",E12&lt;&gt;""),IF(B12="SHORT",(E12-K12)/E12*100,(K12-E12)/E12*100),"")</f>
        <v/>
      </c>
      <c r="O12" s="4">
        <f>IF(AND(J12&lt;&gt;"",D12&lt;&gt;""),J12-D12,"")</f>
        <v/>
      </c>
      <c r="P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>
        <f>IF(AND(K13&lt;&gt;"",E13&lt;&gt;"",F13&lt;&gt;""),IF(B13="SHORT",(E13-K13)*F13,(K13-E13)*F13),"")</f>
        <v/>
      </c>
      <c r="N13" s="4">
        <f>IF(AND(K13&lt;&gt;"",E13&lt;&gt;""),IF(B13="SHORT",(E13-K13)/E13*100,(K13-E13)/E13*100),"")</f>
        <v/>
      </c>
      <c r="O13" s="4">
        <f>IF(AND(J13&lt;&gt;"",D13&lt;&gt;""),J13-D13,"")</f>
        <v/>
      </c>
      <c r="P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>
        <f>IF(AND(K14&lt;&gt;"",E14&lt;&gt;"",F14&lt;&gt;""),IF(B14="SHORT",(E14-K14)*F14,(K14-E14)*F14),"")</f>
        <v/>
      </c>
      <c r="N14" s="4">
        <f>IF(AND(K14&lt;&gt;"",E14&lt;&gt;""),IF(B14="SHORT",(E14-K14)/E14*100,(K14-E14)/E14*100),"")</f>
        <v/>
      </c>
      <c r="O14" s="4">
        <f>IF(AND(J14&lt;&gt;"",D14&lt;&gt;""),J14-D14,"")</f>
        <v/>
      </c>
      <c r="P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>
        <f>IF(AND(K15&lt;&gt;"",E15&lt;&gt;"",F15&lt;&gt;""),IF(B15="SHORT",(E15-K15)*F15,(K15-E15)*F15),"")</f>
        <v/>
      </c>
      <c r="N15" s="4">
        <f>IF(AND(K15&lt;&gt;"",E15&lt;&gt;""),IF(B15="SHORT",(E15-K15)/E15*100,(K15-E15)/E15*100),"")</f>
        <v/>
      </c>
      <c r="O15" s="4">
        <f>IF(AND(J15&lt;&gt;"",D15&lt;&gt;""),J15-D15,"")</f>
        <v/>
      </c>
      <c r="P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>
        <f>IF(AND(K16&lt;&gt;"",E16&lt;&gt;"",F16&lt;&gt;""),IF(B16="SHORT",(E16-K16)*F16,(K16-E16)*F16),"")</f>
        <v/>
      </c>
      <c r="N16" s="4">
        <f>IF(AND(K16&lt;&gt;"",E16&lt;&gt;""),IF(B16="SHORT",(E16-K16)/E16*100,(K16-E16)/E16*100),"")</f>
        <v/>
      </c>
      <c r="O16" s="4">
        <f>IF(AND(J16&lt;&gt;"",D16&lt;&gt;""),J16-D16,"")</f>
        <v/>
      </c>
      <c r="P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>
        <f>IF(AND(K17&lt;&gt;"",E17&lt;&gt;"",F17&lt;&gt;""),IF(B17="SHORT",(E17-K17)*F17,(K17-E17)*F17),"")</f>
        <v/>
      </c>
      <c r="N17" s="4">
        <f>IF(AND(K17&lt;&gt;"",E17&lt;&gt;""),IF(B17="SHORT",(E17-K17)/E17*100,(K17-E17)/E17*100),"")</f>
        <v/>
      </c>
      <c r="O17" s="4">
        <f>IF(AND(J17&lt;&gt;"",D17&lt;&gt;""),J17-D17,"")</f>
        <v/>
      </c>
      <c r="P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>
        <f>IF(AND(K18&lt;&gt;"",E18&lt;&gt;"",F18&lt;&gt;""),IF(B18="SHORT",(E18-K18)*F18,(K18-E18)*F18),"")</f>
        <v/>
      </c>
      <c r="N18" s="4">
        <f>IF(AND(K18&lt;&gt;"",E18&lt;&gt;""),IF(B18="SHORT",(E18-K18)/E18*100,(K18-E18)/E18*100),"")</f>
        <v/>
      </c>
      <c r="O18" s="4">
        <f>IF(AND(J18&lt;&gt;"",D18&lt;&gt;""),J18-D18,"")</f>
        <v/>
      </c>
      <c r="P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>
        <f>IF(AND(K19&lt;&gt;"",E19&lt;&gt;"",F19&lt;&gt;""),IF(B19="SHORT",(E19-K19)*F19,(K19-E19)*F19),"")</f>
        <v/>
      </c>
      <c r="N19" s="4">
        <f>IF(AND(K19&lt;&gt;"",E19&lt;&gt;""),IF(B19="SHORT",(E19-K19)/E19*100,(K19-E19)/E19*100),"")</f>
        <v/>
      </c>
      <c r="O19" s="4">
        <f>IF(AND(J19&lt;&gt;"",D19&lt;&gt;""),J19-D19,"")</f>
        <v/>
      </c>
      <c r="P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>
        <f>IF(AND(K20&lt;&gt;"",E20&lt;&gt;"",F20&lt;&gt;""),IF(B20="SHORT",(E20-K20)*F20,(K20-E20)*F20),"")</f>
        <v/>
      </c>
      <c r="N20" s="4">
        <f>IF(AND(K20&lt;&gt;"",E20&lt;&gt;""),IF(B20="SHORT",(E20-K20)/E20*100,(K20-E20)/E20*100),"")</f>
        <v/>
      </c>
      <c r="O20" s="4">
        <f>IF(AND(J20&lt;&gt;"",D20&lt;&gt;""),J20-D20,"")</f>
        <v/>
      </c>
      <c r="P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>
        <f>IF(AND(K21&lt;&gt;"",E21&lt;&gt;"",F21&lt;&gt;""),IF(B21="SHORT",(E21-K21)*F21,(K21-E21)*F21),"")</f>
        <v/>
      </c>
      <c r="N21" s="4">
        <f>IF(AND(K21&lt;&gt;"",E21&lt;&gt;""),IF(B21="SHORT",(E21-K21)/E21*100,(K21-E21)/E21*100),"")</f>
        <v/>
      </c>
      <c r="O21" s="4">
        <f>IF(AND(J21&lt;&gt;"",D21&lt;&gt;""),J21-D21,"")</f>
        <v/>
      </c>
      <c r="P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>
        <f>IF(AND(K22&lt;&gt;"",E22&lt;&gt;"",F22&lt;&gt;""),IF(B22="SHORT",(E22-K22)*F22,(K22-E22)*F22),"")</f>
        <v/>
      </c>
      <c r="N22" s="4">
        <f>IF(AND(K22&lt;&gt;"",E22&lt;&gt;""),IF(B22="SHORT",(E22-K22)/E22*100,(K22-E22)/E22*100),"")</f>
        <v/>
      </c>
      <c r="O22" s="4">
        <f>IF(AND(J22&lt;&gt;"",D22&lt;&gt;""),J22-D22,"")</f>
        <v/>
      </c>
      <c r="P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>
        <f>IF(AND(K23&lt;&gt;"",E23&lt;&gt;"",F23&lt;&gt;""),IF(B23="SHORT",(E23-K23)*F23,(K23-E23)*F23),"")</f>
        <v/>
      </c>
      <c r="N23" s="4">
        <f>IF(AND(K23&lt;&gt;"",E23&lt;&gt;""),IF(B23="SHORT",(E23-K23)/E23*100,(K23-E23)/E23*100),"")</f>
        <v/>
      </c>
      <c r="O23" s="4">
        <f>IF(AND(J23&lt;&gt;"",D23&lt;&gt;""),J23-D23,"")</f>
        <v/>
      </c>
      <c r="P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>
        <f>IF(AND(K24&lt;&gt;"",E24&lt;&gt;"",F24&lt;&gt;""),IF(B24="SHORT",(E24-K24)*F24,(K24-E24)*F24),"")</f>
        <v/>
      </c>
      <c r="N24" s="4">
        <f>IF(AND(K24&lt;&gt;"",E24&lt;&gt;""),IF(B24="SHORT",(E24-K24)/E24*100,(K24-E24)/E24*100),"")</f>
        <v/>
      </c>
      <c r="O24" s="4">
        <f>IF(AND(J24&lt;&gt;"",D24&lt;&gt;""),J24-D24,"")</f>
        <v/>
      </c>
      <c r="P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>
        <f>IF(AND(K25&lt;&gt;"",E25&lt;&gt;"",F25&lt;&gt;""),IF(B25="SHORT",(E25-K25)*F25,(K25-E25)*F25),"")</f>
        <v/>
      </c>
      <c r="N25" s="4">
        <f>IF(AND(K25&lt;&gt;"",E25&lt;&gt;""),IF(B25="SHORT",(E25-K25)/E25*100,(K25-E25)/E25*100),"")</f>
        <v/>
      </c>
      <c r="O25" s="4">
        <f>IF(AND(J25&lt;&gt;"",D25&lt;&gt;""),J25-D25,"")</f>
        <v/>
      </c>
      <c r="P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>
        <f>IF(AND(K26&lt;&gt;"",E26&lt;&gt;"",F26&lt;&gt;""),IF(B26="SHORT",(E26-K26)*F26,(K26-E26)*F26),"")</f>
        <v/>
      </c>
      <c r="N26" s="4">
        <f>IF(AND(K26&lt;&gt;"",E26&lt;&gt;""),IF(B26="SHORT",(E26-K26)/E26*100,(K26-E26)/E26*100),"")</f>
        <v/>
      </c>
      <c r="O26" s="4">
        <f>IF(AND(J26&lt;&gt;"",D26&lt;&gt;""),J26-D26,"")</f>
        <v/>
      </c>
      <c r="P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>
        <f>IF(AND(K27&lt;&gt;"",E27&lt;&gt;"",F27&lt;&gt;""),IF(B27="SHORT",(E27-K27)*F27,(K27-E27)*F27),"")</f>
        <v/>
      </c>
      <c r="N27" s="4">
        <f>IF(AND(K27&lt;&gt;"",E27&lt;&gt;""),IF(B27="SHORT",(E27-K27)/E27*100,(K27-E27)/E27*100),"")</f>
        <v/>
      </c>
      <c r="O27" s="4">
        <f>IF(AND(J27&lt;&gt;"",D27&lt;&gt;""),J27-D27,"")</f>
        <v/>
      </c>
      <c r="P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>
        <f>IF(AND(K28&lt;&gt;"",E28&lt;&gt;"",F28&lt;&gt;""),IF(B28="SHORT",(E28-K28)*F28,(K28-E28)*F28),"")</f>
        <v/>
      </c>
      <c r="N28" s="4">
        <f>IF(AND(K28&lt;&gt;"",E28&lt;&gt;""),IF(B28="SHORT",(E28-K28)/E28*100,(K28-E28)/E28*100),"")</f>
        <v/>
      </c>
      <c r="O28" s="4">
        <f>IF(AND(J28&lt;&gt;"",D28&lt;&gt;""),J28-D28,"")</f>
        <v/>
      </c>
      <c r="P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>
        <f>IF(AND(K29&lt;&gt;"",E29&lt;&gt;"",F29&lt;&gt;""),IF(B29="SHORT",(E29-K29)*F29,(K29-E29)*F29),"")</f>
        <v/>
      </c>
      <c r="N29" s="4">
        <f>IF(AND(K29&lt;&gt;"",E29&lt;&gt;""),IF(B29="SHORT",(E29-K29)/E29*100,(K29-E29)/E29*100),"")</f>
        <v/>
      </c>
      <c r="O29" s="4">
        <f>IF(AND(J29&lt;&gt;"",D29&lt;&gt;""),J29-D29,"")</f>
        <v/>
      </c>
      <c r="P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>
        <f>IF(AND(K30&lt;&gt;"",E30&lt;&gt;"",F30&lt;&gt;""),IF(B30="SHORT",(E30-K30)*F30,(K30-E30)*F30),"")</f>
        <v/>
      </c>
      <c r="N30" s="4">
        <f>IF(AND(K30&lt;&gt;"",E30&lt;&gt;""),IF(B30="SHORT",(E30-K30)/E30*100,(K30-E30)/E30*100),"")</f>
        <v/>
      </c>
      <c r="O30" s="4">
        <f>IF(AND(J30&lt;&gt;"",D30&lt;&gt;""),J30-D30,"")</f>
        <v/>
      </c>
      <c r="P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>
        <f>IF(AND(K31&lt;&gt;"",E31&lt;&gt;"",F31&lt;&gt;""),IF(B31="SHORT",(E31-K31)*F31,(K31-E31)*F31),"")</f>
        <v/>
      </c>
      <c r="N31" s="4">
        <f>IF(AND(K31&lt;&gt;"",E31&lt;&gt;""),IF(B31="SHORT",(E31-K31)/E31*100,(K31-E31)/E31*100),"")</f>
        <v/>
      </c>
      <c r="O31" s="4">
        <f>IF(AND(J31&lt;&gt;"",D31&lt;&gt;""),J31-D31,"")</f>
        <v/>
      </c>
      <c r="P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>
        <f>IF(AND(K32&lt;&gt;"",E32&lt;&gt;"",F32&lt;&gt;""),IF(B32="SHORT",(E32-K32)*F32,(K32-E32)*F32),"")</f>
        <v/>
      </c>
      <c r="N32" s="4">
        <f>IF(AND(K32&lt;&gt;"",E32&lt;&gt;""),IF(B32="SHORT",(E32-K32)/E32*100,(K32-E32)/E32*100),"")</f>
        <v/>
      </c>
      <c r="O32" s="4">
        <f>IF(AND(J32&lt;&gt;"",D32&lt;&gt;""),J32-D32,"")</f>
        <v/>
      </c>
      <c r="P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>
        <f>IF(AND(K33&lt;&gt;"",E33&lt;&gt;"",F33&lt;&gt;""),IF(B33="SHORT",(E33-K33)*F33,(K33-E33)*F33),"")</f>
        <v/>
      </c>
      <c r="N33" s="4">
        <f>IF(AND(K33&lt;&gt;"",E33&lt;&gt;""),IF(B33="SHORT",(E33-K33)/E33*100,(K33-E33)/E33*100),"")</f>
        <v/>
      </c>
      <c r="O33" s="4">
        <f>IF(AND(J33&lt;&gt;"",D33&lt;&gt;""),J33-D33,"")</f>
        <v/>
      </c>
      <c r="P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>
        <f>IF(AND(K34&lt;&gt;"",E34&lt;&gt;"",F34&lt;&gt;""),IF(B34="SHORT",(E34-K34)*F34,(K34-E34)*F34),"")</f>
        <v/>
      </c>
      <c r="N34" s="4">
        <f>IF(AND(K34&lt;&gt;"",E34&lt;&gt;""),IF(B34="SHORT",(E34-K34)/E34*100,(K34-E34)/E34*100),"")</f>
        <v/>
      </c>
      <c r="O34" s="4">
        <f>IF(AND(J34&lt;&gt;"",D34&lt;&gt;""),J34-D34,"")</f>
        <v/>
      </c>
      <c r="P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>
        <f>IF(AND(K35&lt;&gt;"",E35&lt;&gt;"",F35&lt;&gt;""),IF(B35="SHORT",(E35-K35)*F35,(K35-E35)*F35),"")</f>
        <v/>
      </c>
      <c r="N35" s="4">
        <f>IF(AND(K35&lt;&gt;"",E35&lt;&gt;""),IF(B35="SHORT",(E35-K35)/E35*100,(K35-E35)/E35*100),"")</f>
        <v/>
      </c>
      <c r="O35" s="4">
        <f>IF(AND(J35&lt;&gt;"",D35&lt;&gt;""),J35-D35,"")</f>
        <v/>
      </c>
      <c r="P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>
        <f>IF(AND(K36&lt;&gt;"",E36&lt;&gt;"",F36&lt;&gt;""),IF(B36="SHORT",(E36-K36)*F36,(K36-E36)*F36),"")</f>
        <v/>
      </c>
      <c r="N36" s="4">
        <f>IF(AND(K36&lt;&gt;"",E36&lt;&gt;""),IF(B36="SHORT",(E36-K36)/E36*100,(K36-E36)/E36*100),"")</f>
        <v/>
      </c>
      <c r="O36" s="4">
        <f>IF(AND(J36&lt;&gt;"",D36&lt;&gt;""),J36-D36,"")</f>
        <v/>
      </c>
      <c r="P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>
        <f>IF(AND(K37&lt;&gt;"",E37&lt;&gt;"",F37&lt;&gt;""),IF(B37="SHORT",(E37-K37)*F37,(K37-E37)*F37),"")</f>
        <v/>
      </c>
      <c r="N37" s="4">
        <f>IF(AND(K37&lt;&gt;"",E37&lt;&gt;""),IF(B37="SHORT",(E37-K37)/E37*100,(K37-E37)/E37*100),"")</f>
        <v/>
      </c>
      <c r="O37" s="4">
        <f>IF(AND(J37&lt;&gt;"",D37&lt;&gt;""),J37-D37,"")</f>
        <v/>
      </c>
      <c r="P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>
        <f>IF(AND(K38&lt;&gt;"",E38&lt;&gt;"",F38&lt;&gt;""),IF(B38="SHORT",(E38-K38)*F38,(K38-E38)*F38),"")</f>
        <v/>
      </c>
      <c r="N38" s="4">
        <f>IF(AND(K38&lt;&gt;"",E38&lt;&gt;""),IF(B38="SHORT",(E38-K38)/E38*100,(K38-E38)/E38*100),"")</f>
        <v/>
      </c>
      <c r="O38" s="4">
        <f>IF(AND(J38&lt;&gt;"",D38&lt;&gt;""),J38-D38,"")</f>
        <v/>
      </c>
      <c r="P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>
        <f>IF(AND(K39&lt;&gt;"",E39&lt;&gt;"",F39&lt;&gt;""),IF(B39="SHORT",(E39-K39)*F39,(K39-E39)*F39),"")</f>
        <v/>
      </c>
      <c r="N39" s="4">
        <f>IF(AND(K39&lt;&gt;"",E39&lt;&gt;""),IF(B39="SHORT",(E39-K39)/E39*100,(K39-E39)/E39*100),"")</f>
        <v/>
      </c>
      <c r="O39" s="4">
        <f>IF(AND(J39&lt;&gt;"",D39&lt;&gt;""),J39-D39,"")</f>
        <v/>
      </c>
      <c r="P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>
        <f>IF(AND(K40&lt;&gt;"",E40&lt;&gt;"",F40&lt;&gt;""),IF(B40="SHORT",(E40-K40)*F40,(K40-E40)*F40),"")</f>
        <v/>
      </c>
      <c r="N40" s="4">
        <f>IF(AND(K40&lt;&gt;"",E40&lt;&gt;""),IF(B40="SHORT",(E40-K40)/E40*100,(K40-E40)/E40*100),"")</f>
        <v/>
      </c>
      <c r="O40" s="4">
        <f>IF(AND(J40&lt;&gt;"",D40&lt;&gt;""),J40-D40,"")</f>
        <v/>
      </c>
      <c r="P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>
        <f>IF(AND(K41&lt;&gt;"",E41&lt;&gt;"",F41&lt;&gt;""),IF(B41="SHORT",(E41-K41)*F41,(K41-E41)*F41),"")</f>
        <v/>
      </c>
      <c r="N41" s="4">
        <f>IF(AND(K41&lt;&gt;"",E41&lt;&gt;""),IF(B41="SHORT",(E41-K41)/E41*100,(K41-E41)/E41*100),"")</f>
        <v/>
      </c>
      <c r="O41" s="4">
        <f>IF(AND(J41&lt;&gt;"",D41&lt;&gt;""),J41-D41,"")</f>
        <v/>
      </c>
      <c r="P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>
        <f>IF(AND(K42&lt;&gt;"",E42&lt;&gt;"",F42&lt;&gt;""),IF(B42="SHORT",(E42-K42)*F42,(K42-E42)*F42),"")</f>
        <v/>
      </c>
      <c r="N42" s="4">
        <f>IF(AND(K42&lt;&gt;"",E42&lt;&gt;""),IF(B42="SHORT",(E42-K42)/E42*100,(K42-E42)/E42*100),"")</f>
        <v/>
      </c>
      <c r="O42" s="4">
        <f>IF(AND(J42&lt;&gt;"",D42&lt;&gt;""),J42-D42,"")</f>
        <v/>
      </c>
      <c r="P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>
        <f>IF(AND(K43&lt;&gt;"",E43&lt;&gt;"",F43&lt;&gt;""),IF(B43="SHORT",(E43-K43)*F43,(K43-E43)*F43),"")</f>
        <v/>
      </c>
      <c r="N43" s="4">
        <f>IF(AND(K43&lt;&gt;"",E43&lt;&gt;""),IF(B43="SHORT",(E43-K43)/E43*100,(K43-E43)/E43*100),"")</f>
        <v/>
      </c>
      <c r="O43" s="4">
        <f>IF(AND(J43&lt;&gt;"",D43&lt;&gt;""),J43-D43,"")</f>
        <v/>
      </c>
      <c r="P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>
        <f>IF(AND(K44&lt;&gt;"",E44&lt;&gt;"",F44&lt;&gt;""),IF(B44="SHORT",(E44-K44)*F44,(K44-E44)*F44),"")</f>
        <v/>
      </c>
      <c r="N44" s="4">
        <f>IF(AND(K44&lt;&gt;"",E44&lt;&gt;""),IF(B44="SHORT",(E44-K44)/E44*100,(K44-E44)/E44*100),"")</f>
        <v/>
      </c>
      <c r="O44" s="4">
        <f>IF(AND(J44&lt;&gt;"",D44&lt;&gt;""),J44-D44,"")</f>
        <v/>
      </c>
      <c r="P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>
        <f>IF(AND(K45&lt;&gt;"",E45&lt;&gt;"",F45&lt;&gt;""),IF(B45="SHORT",(E45-K45)*F45,(K45-E45)*F45),"")</f>
        <v/>
      </c>
      <c r="N45" s="4">
        <f>IF(AND(K45&lt;&gt;"",E45&lt;&gt;""),IF(B45="SHORT",(E45-K45)/E45*100,(K45-E45)/E45*100),"")</f>
        <v/>
      </c>
      <c r="O45" s="4">
        <f>IF(AND(J45&lt;&gt;"",D45&lt;&gt;""),J45-D45,"")</f>
        <v/>
      </c>
      <c r="P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>
        <f>IF(AND(K46&lt;&gt;"",E46&lt;&gt;"",F46&lt;&gt;""),IF(B46="SHORT",(E46-K46)*F46,(K46-E46)*F46),"")</f>
        <v/>
      </c>
      <c r="N46" s="4">
        <f>IF(AND(K46&lt;&gt;"",E46&lt;&gt;""),IF(B46="SHORT",(E46-K46)/E46*100,(K46-E46)/E46*100),"")</f>
        <v/>
      </c>
      <c r="O46" s="4">
        <f>IF(AND(J46&lt;&gt;"",D46&lt;&gt;""),J46-D46,"")</f>
        <v/>
      </c>
      <c r="P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>
        <f>IF(AND(K47&lt;&gt;"",E47&lt;&gt;"",F47&lt;&gt;""),IF(B47="SHORT",(E47-K47)*F47,(K47-E47)*F47),"")</f>
        <v/>
      </c>
      <c r="N47" s="4">
        <f>IF(AND(K47&lt;&gt;"",E47&lt;&gt;""),IF(B47="SHORT",(E47-K47)/E47*100,(K47-E47)/E47*100),"")</f>
        <v/>
      </c>
      <c r="O47" s="4">
        <f>IF(AND(J47&lt;&gt;"",D47&lt;&gt;""),J47-D47,"")</f>
        <v/>
      </c>
      <c r="P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>
        <f>IF(AND(K48&lt;&gt;"",E48&lt;&gt;"",F48&lt;&gt;""),IF(B48="SHORT",(E48-K48)*F48,(K48-E48)*F48),"")</f>
        <v/>
      </c>
      <c r="N48" s="4">
        <f>IF(AND(K48&lt;&gt;"",E48&lt;&gt;""),IF(B48="SHORT",(E48-K48)/E48*100,(K48-E48)/E48*100),"")</f>
        <v/>
      </c>
      <c r="O48" s="4">
        <f>IF(AND(J48&lt;&gt;"",D48&lt;&gt;""),J48-D48,"")</f>
        <v/>
      </c>
      <c r="P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>
        <f>IF(AND(K49&lt;&gt;"",E49&lt;&gt;"",F49&lt;&gt;""),IF(B49="SHORT",(E49-K49)*F49,(K49-E49)*F49),"")</f>
        <v/>
      </c>
      <c r="N49" s="4">
        <f>IF(AND(K49&lt;&gt;"",E49&lt;&gt;""),IF(B49="SHORT",(E49-K49)/E49*100,(K49-E49)/E49*100),"")</f>
        <v/>
      </c>
      <c r="O49" s="4">
        <f>IF(AND(J49&lt;&gt;"",D49&lt;&gt;""),J49-D49,"")</f>
        <v/>
      </c>
      <c r="P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>
        <f>IF(AND(K50&lt;&gt;"",E50&lt;&gt;"",F50&lt;&gt;""),IF(B50="SHORT",(E50-K50)*F50,(K50-E50)*F50),"")</f>
        <v/>
      </c>
      <c r="N50" s="4">
        <f>IF(AND(K50&lt;&gt;"",E50&lt;&gt;""),IF(B50="SHORT",(E50-K50)/E50*100,(K50-E50)/E50*100),"")</f>
        <v/>
      </c>
      <c r="O50" s="4">
        <f>IF(AND(J50&lt;&gt;"",D50&lt;&gt;""),J50-D50,"")</f>
        <v/>
      </c>
      <c r="P50" s="4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>
        <f>IF(AND(K51&lt;&gt;"",E51&lt;&gt;"",F51&lt;&gt;""),IF(B51="SHORT",(E51-K51)*F51,(K51-E51)*F51),"")</f>
        <v/>
      </c>
      <c r="N51" s="4">
        <f>IF(AND(K51&lt;&gt;"",E51&lt;&gt;""),IF(B51="SHORT",(E51-K51)/E51*100,(K51-E51)/E51*100),"")</f>
        <v/>
      </c>
      <c r="O51" s="4">
        <f>IF(AND(J51&lt;&gt;"",D51&lt;&gt;""),J51-D51,"")</f>
        <v/>
      </c>
      <c r="P51" s="4" t="n"/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>
        <f>IF(AND(K52&lt;&gt;"",E52&lt;&gt;"",F52&lt;&gt;""),IF(B52="SHORT",(E52-K52)*F52,(K52-E52)*F52),"")</f>
        <v/>
      </c>
      <c r="N52" s="4">
        <f>IF(AND(K52&lt;&gt;"",E52&lt;&gt;""),IF(B52="SHORT",(E52-K52)/E52*100,(K52-E52)/E52*100),"")</f>
        <v/>
      </c>
      <c r="O52" s="4">
        <f>IF(AND(J52&lt;&gt;"",D52&lt;&gt;""),J52-D52,"")</f>
        <v/>
      </c>
      <c r="P52" s="4" t="n"/>
    </row>
    <row r="53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>
        <f>IF(AND(K53&lt;&gt;"",E53&lt;&gt;"",F53&lt;&gt;""),IF(B53="SHORT",(E53-K53)*F53,(K53-E53)*F53),"")</f>
        <v/>
      </c>
      <c r="N53" s="4">
        <f>IF(AND(K53&lt;&gt;"",E53&lt;&gt;""),IF(B53="SHORT",(E53-K53)/E53*100,(K53-E53)/E53*100),"")</f>
        <v/>
      </c>
      <c r="O53" s="4">
        <f>IF(AND(J53&lt;&gt;"",D53&lt;&gt;""),J53-D53,"")</f>
        <v/>
      </c>
      <c r="P53" s="4" t="n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>
        <f>IF(AND(K54&lt;&gt;"",E54&lt;&gt;"",F54&lt;&gt;""),IF(B54="SHORT",(E54-K54)*F54,(K54-E54)*F54),"")</f>
        <v/>
      </c>
      <c r="N54" s="4">
        <f>IF(AND(K54&lt;&gt;"",E54&lt;&gt;""),IF(B54="SHORT",(E54-K54)/E54*100,(K54-E54)/E54*100),"")</f>
        <v/>
      </c>
      <c r="O54" s="4">
        <f>IF(AND(J54&lt;&gt;"",D54&lt;&gt;""),J54-D54,"")</f>
        <v/>
      </c>
      <c r="P54" s="4" t="n"/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>
        <f>IF(AND(K55&lt;&gt;"",E55&lt;&gt;"",F55&lt;&gt;""),IF(B55="SHORT",(E55-K55)*F55,(K55-E55)*F55),"")</f>
        <v/>
      </c>
      <c r="N55" s="4">
        <f>IF(AND(K55&lt;&gt;"",E55&lt;&gt;""),IF(B55="SHORT",(E55-K55)/E55*100,(K55-E55)/E55*100),"")</f>
        <v/>
      </c>
      <c r="O55" s="4">
        <f>IF(AND(J55&lt;&gt;"",D55&lt;&gt;""),J55-D55,"")</f>
        <v/>
      </c>
      <c r="P55" s="4" t="n"/>
    </row>
    <row r="58">
      <c r="A58" s="18" t="inlineStr">
        <is>
          <t>SUMMARY STATS</t>
        </is>
      </c>
    </row>
    <row r="59">
      <c r="A59" t="inlineStr">
        <is>
          <t>Total Trades:</t>
        </is>
      </c>
      <c r="B59">
        <f>COUNTA(A6:A55)</f>
        <v/>
      </c>
    </row>
    <row r="60">
      <c r="A60" t="inlineStr">
        <is>
          <t>Long Trades:</t>
        </is>
      </c>
      <c r="B60">
        <f>COUNTIF(B6:B55,"LONG")</f>
        <v/>
      </c>
    </row>
    <row r="61">
      <c r="A61" s="19" t="inlineStr">
        <is>
          <t>Short Trades:</t>
        </is>
      </c>
      <c r="B61">
        <f>COUNTIF(B6:B55,"SHORT")</f>
        <v/>
      </c>
    </row>
    <row r="62">
      <c r="A62" t="inlineStr">
        <is>
          <t>Winning Trades:</t>
        </is>
      </c>
      <c r="B62">
        <f>COUNTIF(M6:M55,"&gt;0")</f>
        <v/>
      </c>
    </row>
    <row r="63">
      <c r="A63" t="inlineStr">
        <is>
          <t>Losing Trades:</t>
        </is>
      </c>
      <c r="B63">
        <f>COUNTIF(M6:M55,"&lt;0")</f>
        <v/>
      </c>
    </row>
    <row r="64">
      <c r="A64" t="inlineStr">
        <is>
          <t>Win Rate:</t>
        </is>
      </c>
      <c r="B64">
        <f>IF(B59&gt;0,B62/B59*100,0)</f>
        <v/>
      </c>
      <c r="C64" t="inlineStr">
        <is>
          <t>%</t>
        </is>
      </c>
    </row>
    <row r="65">
      <c r="A65" t="inlineStr">
        <is>
          <t>Total P&amp;L:</t>
        </is>
      </c>
      <c r="B65">
        <f>SUM(M6:M55)</f>
        <v/>
      </c>
    </row>
    <row r="66">
      <c r="A66" t="inlineStr">
        <is>
          <t>Avg Hold Days:</t>
        </is>
      </c>
      <c r="B66">
        <f>IF(COUNTA(O6:O55)&gt;0,AVERAGE(O6:O55),0)</f>
        <v/>
      </c>
    </row>
    <row r="67">
      <c r="A67" t="inlineStr">
        <is>
          <t>Avg Win %:</t>
        </is>
      </c>
      <c r="B67">
        <f>IF(B62&gt;0,AVERAGEIF(N6:N55,"&gt;0"),0)</f>
        <v/>
      </c>
    </row>
    <row r="68">
      <c r="A68" t="inlineStr">
        <is>
          <t>Avg Loss %:</t>
        </is>
      </c>
      <c r="B68">
        <f>IF(B63&gt;0,AVERAGEIF(N6:N55,"&lt;0"),0)</f>
        <v/>
      </c>
    </row>
  </sheetData>
  <mergeCells count="3">
    <mergeCell ref="A1:P1"/>
    <mergeCell ref="A3:P3"/>
    <mergeCell ref="A2:P2"/>
  </mergeCells>
  <conditionalFormatting sqref="M6:M55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N6:N55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B6:B55">
    <cfRule type="cellIs" priority="5" operator="equal" dxfId="2">
      <formula>"SHORT"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9" t="inlineStr">
        <is>
          <t>Date</t>
        </is>
      </c>
      <c r="B1" s="9" t="inlineStr">
        <is>
          <t>SPY Price</t>
        </is>
      </c>
      <c r="C1" s="9" t="inlineStr">
        <is>
          <t>SPY RSI</t>
        </is>
      </c>
      <c r="D1" s="9" t="inlineStr">
        <is>
          <t>Bullish</t>
        </is>
      </c>
      <c r="E1" s="9" t="inlineStr">
        <is>
          <t>Bearish</t>
        </is>
      </c>
      <c r="F1" s="9" t="inlineStr">
        <is>
          <t>Neutral</t>
        </is>
      </c>
      <c r="G1" s="9" t="inlineStr">
        <is>
          <t>Top Setup</t>
        </is>
      </c>
    </row>
    <row r="2">
      <c r="A2" s="4" t="inlineStr">
        <is>
          <t>2026-02-03</t>
        </is>
      </c>
      <c r="B2" s="4" t="n">
        <v>686.091796875</v>
      </c>
      <c r="C2" s="4" t="n">
        <v>42.9086809470124</v>
      </c>
      <c r="D2" s="4" t="n">
        <v>13</v>
      </c>
      <c r="E2" s="4" t="n">
        <v>27</v>
      </c>
      <c r="F2" s="4" t="n">
        <v>9</v>
      </c>
      <c r="G2" s="4" t="inlineStr">
        <is>
          <t>HD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2026-02-03T19:45:02Z</dcterms:created>
  <dcterms:modified xsi:type="dcterms:W3CDTF">2026-02-03T19:45:02Z</dcterms:modified>
</cp:coreProperties>
</file>