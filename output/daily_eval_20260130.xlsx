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creening Results" sheetId="2" state="visible" r:id="rId2"/>
    <sheet name="Bullish Setups" sheetId="3" state="visible" r:id="rId3"/>
    <sheet name="Position Sizes" sheetId="4" state="visible" r:id="rId4"/>
    <sheet name="Sector Performance" sheetId="5" state="visible" r:id="rId5"/>
    <sheet name="Decision Helper" sheetId="6" state="visible" r:id="rId6"/>
    <sheet name="Trade Journal" sheetId="7" state="visible" r:id="rId7"/>
    <sheet name="Daily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666666"/>
    </font>
  </fonts>
  <fills count="8">
    <fill>
      <patternFill/>
    </fill>
    <fill>
      <patternFill patternType="gray125"/>
    </fill>
    <fill>
      <patternFill patternType="solid">
        <fgColor rgb="002E86AB"/>
        <bgColor rgb="002E86AB"/>
      </patternFill>
    </fill>
    <fill>
      <patternFill patternType="solid">
        <fgColor rgb="0086BA90"/>
        <bgColor rgb="0086BA90"/>
      </patternFill>
    </fill>
    <fill>
      <patternFill patternType="solid">
        <fgColor rgb="00A8DADC"/>
        <bgColor rgb="00A8DADC"/>
      </patternFill>
    </fill>
    <fill>
      <patternFill patternType="solid">
        <fgColor rgb="00E63946"/>
        <bgColor rgb="00E63946"/>
      </patternFill>
    </fill>
    <fill>
      <patternFill patternType="solid">
        <fgColor rgb="002E7D32"/>
        <bgColor rgb="002E7D32"/>
      </patternFill>
    </fill>
    <fill>
      <patternFill patternType="solid">
        <fgColor rgb="00F9A825"/>
        <bgColor rgb="00F9A82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3" borderId="1" pivotButton="0" quotePrefix="0" xfId="0"/>
    <xf numFmtId="0" fontId="3" fillId="2" borderId="1" pivotButton="0" quotePrefix="0" xfId="0"/>
    <xf numFmtId="0" fontId="3" fillId="6" borderId="1" pivotButton="0" quotePrefix="0" xfId="0"/>
    <xf numFmtId="0" fontId="0" fillId="7" borderId="1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ASTRYX INVESTING - DAILY MARKET EVALUATION</t>
        </is>
      </c>
    </row>
    <row r="2">
      <c r="A2" t="inlineStr"/>
    </row>
    <row r="3">
      <c r="A3" t="inlineStr">
        <is>
          <t>Run Date:</t>
        </is>
      </c>
      <c r="B3" t="inlineStr">
        <is>
          <t>2026-01-30 12:53:16</t>
        </is>
      </c>
    </row>
    <row r="4">
      <c r="A4" t="inlineStr">
        <is>
          <t>Stocks Scanned:</t>
        </is>
      </c>
      <c r="B4" t="n">
        <v>50</v>
      </c>
    </row>
    <row r="5">
      <c r="A5" t="inlineStr"/>
    </row>
    <row r="6">
      <c r="A6" s="2" t="inlineStr">
        <is>
          <t>MARKET OVERVIEW</t>
        </is>
      </c>
    </row>
    <row r="7">
      <c r="A7" t="inlineStr">
        <is>
          <t>SPY Price:</t>
        </is>
      </c>
      <c r="B7" t="inlineStr">
        <is>
          <t>$691.67</t>
        </is>
      </c>
    </row>
    <row r="8">
      <c r="A8" t="inlineStr">
        <is>
          <t>SPY RSI:</t>
        </is>
      </c>
      <c r="B8" t="inlineStr">
        <is>
          <t>47.3</t>
        </is>
      </c>
    </row>
    <row r="9">
      <c r="A9" t="inlineStr"/>
    </row>
    <row r="10">
      <c r="A10" s="2" t="inlineStr">
        <is>
          <t>SIGNAL BREAKDOWN</t>
        </is>
      </c>
    </row>
    <row r="11">
      <c r="A11" t="inlineStr">
        <is>
          <t>Bullish Setups:</t>
        </is>
      </c>
      <c r="B11" t="n">
        <v>9</v>
      </c>
    </row>
    <row r="12">
      <c r="A12" t="inlineStr">
        <is>
          <t>Bearish Setups:</t>
        </is>
      </c>
      <c r="B12" t="n">
        <v>25</v>
      </c>
    </row>
    <row r="13">
      <c r="A13" t="inlineStr">
        <is>
          <t>Neutral:</t>
        </is>
      </c>
      <c r="B13" t="n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</cols>
  <sheetData>
    <row r="1">
      <c r="A1" s="3" t="inlineStr">
        <is>
          <t>Ticker</t>
        </is>
      </c>
      <c r="B1" s="3" t="inlineStr">
        <is>
          <t>Signal</t>
        </is>
      </c>
      <c r="C1" s="3" t="inlineStr">
        <is>
          <t>Bullish_Setups</t>
        </is>
      </c>
      <c r="D1" s="3" t="inlineStr">
        <is>
          <t>Bearish_Setups</t>
        </is>
      </c>
      <c r="E1" s="3" t="inlineStr">
        <is>
          <t>Num_Bullish</t>
        </is>
      </c>
      <c r="F1" s="3" t="inlineStr">
        <is>
          <t>Num_Bearish</t>
        </is>
      </c>
      <c r="G1" s="3" t="inlineStr">
        <is>
          <t>Price</t>
        </is>
      </c>
      <c r="H1" s="3" t="inlineStr">
        <is>
          <t>RSI</t>
        </is>
      </c>
      <c r="I1" s="3" t="inlineStr">
        <is>
          <t>MACD_Hist</t>
        </is>
      </c>
      <c r="J1" s="3" t="inlineStr">
        <is>
          <t>Vol_Ratio</t>
        </is>
      </c>
      <c r="K1" s="3" t="inlineStr">
        <is>
          <t>RS_vs_SPY</t>
        </is>
      </c>
      <c r="L1" s="3" t="inlineStr">
        <is>
          <t>Dist_200_SMA</t>
        </is>
      </c>
      <c r="M1" s="3" t="inlineStr">
        <is>
          <t>ATR_Pct</t>
        </is>
      </c>
    </row>
    <row r="2">
      <c r="A2" s="4" t="inlineStr">
        <is>
          <t>HD</t>
        </is>
      </c>
      <c r="B2" s="5" t="inlineStr">
        <is>
          <t>BULLISH</t>
        </is>
      </c>
      <c r="C2" s="4" t="inlineStr">
        <is>
          <t>PULLBACK_SUPPORT, RS_LEADER</t>
        </is>
      </c>
      <c r="D2" s="4" t="inlineStr"/>
      <c r="E2" s="4" t="n">
        <v>2</v>
      </c>
      <c r="F2" s="4" t="n">
        <v>0</v>
      </c>
      <c r="G2" s="4" t="n">
        <v>374.6849975585938</v>
      </c>
      <c r="H2" s="4" t="n">
        <v>50.04134076457417</v>
      </c>
      <c r="I2" s="4" t="n">
        <v>-0.638454129071321</v>
      </c>
      <c r="J2" s="4" t="n">
        <v>0.5141743198544929</v>
      </c>
      <c r="K2" s="4" t="n">
        <v>7.459009192996623</v>
      </c>
      <c r="L2" s="4" t="n">
        <v>0.9208785482642337</v>
      </c>
      <c r="M2" s="4" t="n">
        <v>1.974077904400397</v>
      </c>
    </row>
    <row r="3">
      <c r="A3" s="4" t="inlineStr">
        <is>
          <t>GOOGL</t>
        </is>
      </c>
      <c r="B3" s="5" t="inlineStr">
        <is>
          <t>BULLISH</t>
        </is>
      </c>
      <c r="C3" s="4" t="inlineStr">
        <is>
          <t>RS_LEADER</t>
        </is>
      </c>
      <c r="D3" s="4" t="inlineStr"/>
      <c r="E3" s="4" t="n">
        <v>1</v>
      </c>
      <c r="F3" s="4" t="n">
        <v>0</v>
      </c>
      <c r="G3" s="4" t="n">
        <v>338.0400085449219</v>
      </c>
      <c r="H3" s="4" t="n">
        <v>60.99883529943013</v>
      </c>
      <c r="I3" s="4" t="n">
        <v>0.1447363602682463</v>
      </c>
      <c r="J3" s="4" t="n">
        <v>0.6542468895266791</v>
      </c>
      <c r="K3" s="4" t="n">
        <v>6.570610030363921</v>
      </c>
      <c r="L3" s="4" t="n">
        <v>44.32901611722072</v>
      </c>
      <c r="M3" s="4" t="n">
        <v>2.447406451511392</v>
      </c>
    </row>
    <row r="4">
      <c r="A4" s="4" t="inlineStr">
        <is>
          <t>AMZN</t>
        </is>
      </c>
      <c r="B4" s="5" t="inlineStr">
        <is>
          <t>BULLISH</t>
        </is>
      </c>
      <c r="C4" s="4" t="inlineStr">
        <is>
          <t>PULLBACK_SUPPORT</t>
        </is>
      </c>
      <c r="D4" s="4" t="inlineStr"/>
      <c r="E4" s="4" t="n">
        <v>1</v>
      </c>
      <c r="F4" s="4" t="n">
        <v>0</v>
      </c>
      <c r="G4" s="4" t="n">
        <v>238.9700012207031</v>
      </c>
      <c r="H4" s="4" t="n">
        <v>40.03317945550105</v>
      </c>
      <c r="I4" s="4" t="n">
        <v>0.01376200169383868</v>
      </c>
      <c r="J4" s="4" t="n">
        <v>0.7691548262895774</v>
      </c>
      <c r="K4" s="4" t="n">
        <v>2.101494414937344</v>
      </c>
      <c r="L4" s="4" t="n">
        <v>7.749467319683778</v>
      </c>
      <c r="M4" s="4" t="n">
        <v>2.342045185805965</v>
      </c>
    </row>
    <row r="5">
      <c r="A5" s="4" t="inlineStr">
        <is>
          <t>META</t>
        </is>
      </c>
      <c r="B5" s="5" t="inlineStr">
        <is>
          <t>BULLISH</t>
        </is>
      </c>
      <c r="C5" s="4" t="inlineStr">
        <is>
          <t>RS_LEADER</t>
        </is>
      </c>
      <c r="D5" s="4" t="inlineStr"/>
      <c r="E5" s="4" t="n">
        <v>1</v>
      </c>
      <c r="F5" s="4" t="n">
        <v>0</v>
      </c>
      <c r="G5" s="4" t="n">
        <v>716.77001953125</v>
      </c>
      <c r="H5" s="4" t="n">
        <v>64.23942838481167</v>
      </c>
      <c r="I5" s="4" t="n">
        <v>10.42745932631945</v>
      </c>
      <c r="J5" s="4" t="n">
        <v>1.013711631560223</v>
      </c>
      <c r="K5" s="4" t="n">
        <v>7.157313714600599</v>
      </c>
      <c r="L5" s="4" t="n">
        <v>5.316390292829531</v>
      </c>
      <c r="M5" s="4" t="n">
        <v>3.133701729774811</v>
      </c>
    </row>
    <row r="6">
      <c r="A6" s="4" t="inlineStr">
        <is>
          <t>WMT</t>
        </is>
      </c>
      <c r="B6" s="5" t="inlineStr">
        <is>
          <t>BULLISH</t>
        </is>
      </c>
      <c r="C6" s="4" t="inlineStr">
        <is>
          <t>RS_LEADER</t>
        </is>
      </c>
      <c r="D6" s="4" t="inlineStr"/>
      <c r="E6" s="4" t="n">
        <v>1</v>
      </c>
      <c r="F6" s="4" t="n">
        <v>0</v>
      </c>
      <c r="G6" s="4" t="n">
        <v>119.245002746582</v>
      </c>
      <c r="H6" s="4" t="n">
        <v>66.15279584860824</v>
      </c>
      <c r="I6" s="4" t="n">
        <v>-0.2160404981846531</v>
      </c>
      <c r="J6" s="4" t="n">
        <v>0.2632466343083429</v>
      </c>
      <c r="K6" s="4" t="n">
        <v>5.603188600897147</v>
      </c>
      <c r="L6" s="4" t="n">
        <v>16.05704278938381</v>
      </c>
      <c r="M6" s="4" t="n">
        <v>2.098919083139682</v>
      </c>
    </row>
    <row r="7">
      <c r="A7" s="4" t="inlineStr">
        <is>
          <t>MRK</t>
        </is>
      </c>
      <c r="B7" s="5" t="inlineStr">
        <is>
          <t>BULLISH</t>
        </is>
      </c>
      <c r="C7" s="4" t="inlineStr">
        <is>
          <t>PULLBACK_SUPPORT</t>
        </is>
      </c>
      <c r="D7" s="4" t="inlineStr"/>
      <c r="E7" s="4" t="n">
        <v>1</v>
      </c>
      <c r="F7" s="4" t="n">
        <v>0</v>
      </c>
      <c r="G7" s="4" t="n">
        <v>110.4000015258789</v>
      </c>
      <c r="H7" s="4" t="n">
        <v>49.6434521714493</v>
      </c>
      <c r="I7" s="4" t="n">
        <v>-0.5024822804229612</v>
      </c>
      <c r="J7" s="4" t="n">
        <v>0.9781831883715665</v>
      </c>
      <c r="K7" s="4" t="n">
        <v>3.453753115797942</v>
      </c>
      <c r="L7" s="4" t="n">
        <v>27.37877962896279</v>
      </c>
      <c r="M7" s="4" t="n">
        <v>2.241201744931752</v>
      </c>
    </row>
    <row r="8">
      <c r="A8" s="4" t="inlineStr">
        <is>
          <t>AMD</t>
        </is>
      </c>
      <c r="B8" s="5" t="inlineStr">
        <is>
          <t>BULLISH</t>
        </is>
      </c>
      <c r="C8" s="4" t="inlineStr">
        <is>
          <t>RS_LEADER</t>
        </is>
      </c>
      <c r="D8" s="4" t="inlineStr"/>
      <c r="E8" s="4" t="n">
        <v>1</v>
      </c>
      <c r="F8" s="4" t="n">
        <v>0</v>
      </c>
      <c r="G8" s="4" t="n">
        <v>236.7100067138672</v>
      </c>
      <c r="H8" s="4" t="n">
        <v>70.36677801592741</v>
      </c>
      <c r="I8" s="4" t="n">
        <v>1.420722224103823</v>
      </c>
      <c r="J8" s="4" t="n">
        <v>0.8676710417427262</v>
      </c>
      <c r="K8" s="4" t="n">
        <v>9.100119191539035</v>
      </c>
      <c r="L8" s="4" t="n">
        <v>34.64549232515965</v>
      </c>
      <c r="M8" s="4" t="n">
        <v>5.279513976037227</v>
      </c>
    </row>
    <row r="9">
      <c r="A9" s="4" t="inlineStr">
        <is>
          <t>LIN</t>
        </is>
      </c>
      <c r="B9" s="5" t="inlineStr">
        <is>
          <t>BULLISH</t>
        </is>
      </c>
      <c r="C9" s="4" t="inlineStr">
        <is>
          <t>RS_LEADER</t>
        </is>
      </c>
      <c r="D9" s="4" t="inlineStr"/>
      <c r="E9" s="4" t="n">
        <v>1</v>
      </c>
      <c r="F9" s="4" t="n">
        <v>0</v>
      </c>
      <c r="G9" s="4" t="n">
        <v>456.2200012207031</v>
      </c>
      <c r="H9" s="4" t="n">
        <v>64.74018553623648</v>
      </c>
      <c r="I9" s="4" t="n">
        <v>0.8496834427112674</v>
      </c>
      <c r="J9" s="4" t="n">
        <v>0.777709944376611</v>
      </c>
      <c r="K9" s="4" t="n">
        <v>5.566546592429877</v>
      </c>
      <c r="L9" s="4" t="n">
        <v>1.415548198619461</v>
      </c>
      <c r="M9" s="4" t="n">
        <v>1.402322722207638</v>
      </c>
    </row>
    <row r="10">
      <c r="A10" s="4" t="inlineStr">
        <is>
          <t>CAT</t>
        </is>
      </c>
      <c r="B10" s="5" t="inlineStr">
        <is>
          <t>BULLISH</t>
        </is>
      </c>
      <c r="C10" s="4" t="inlineStr">
        <is>
          <t>RS_LEADER</t>
        </is>
      </c>
      <c r="D10" s="4" t="inlineStr"/>
      <c r="E10" s="4" t="n">
        <v>1</v>
      </c>
      <c r="F10" s="4" t="n">
        <v>0</v>
      </c>
      <c r="G10" s="4" t="n">
        <v>657.7750244140625</v>
      </c>
      <c r="H10" s="4" t="n">
        <v>65.58567961631309</v>
      </c>
      <c r="I10" s="4" t="n">
        <v>1.068741664091611</v>
      </c>
      <c r="J10" s="4" t="n">
        <v>0.901838137079473</v>
      </c>
      <c r="K10" s="4" t="n">
        <v>13.66024908031127</v>
      </c>
      <c r="L10" s="4" t="n">
        <v>41.80170976630377</v>
      </c>
      <c r="M10" s="4" t="n">
        <v>2.941674112791638</v>
      </c>
    </row>
    <row r="11">
      <c r="A11" s="4" t="inlineStr">
        <is>
          <t>AAPL</t>
        </is>
      </c>
      <c r="B11" s="6" t="inlineStr">
        <is>
          <t>NEUTRAL</t>
        </is>
      </c>
      <c r="C11" s="4" t="inlineStr"/>
      <c r="D11" s="4" t="inlineStr"/>
      <c r="E11" s="4" t="n">
        <v>0</v>
      </c>
      <c r="F11" s="4" t="n">
        <v>0</v>
      </c>
      <c r="G11" s="4" t="n">
        <v>260.3599853515625</v>
      </c>
      <c r="H11" s="4" t="n">
        <v>51.45715497229429</v>
      </c>
      <c r="I11" s="4" t="n">
        <v>1.035416534264722</v>
      </c>
      <c r="J11" s="4" t="n">
        <v>1.22238245860636</v>
      </c>
      <c r="K11" s="4" t="n">
        <v>-5.659511370887927</v>
      </c>
      <c r="L11" s="4" t="n">
        <v>10.14329327735029</v>
      </c>
      <c r="M11" s="4" t="n">
        <v>2.247710628936223</v>
      </c>
    </row>
    <row r="12">
      <c r="A12" s="4" t="inlineStr">
        <is>
          <t>NVDA</t>
        </is>
      </c>
      <c r="B12" s="6" t="inlineStr">
        <is>
          <t>NEUTRAL</t>
        </is>
      </c>
      <c r="C12" s="4" t="inlineStr"/>
      <c r="D12" s="4" t="inlineStr"/>
      <c r="E12" s="4" t="n">
        <v>0</v>
      </c>
      <c r="F12" s="4" t="n">
        <v>0</v>
      </c>
      <c r="G12" s="4" t="n">
        <v>191.0899963378906</v>
      </c>
      <c r="H12" s="4" t="n">
        <v>58.95887320976792</v>
      </c>
      <c r="I12" s="4" t="n">
        <v>0.7181637599613263</v>
      </c>
      <c r="J12" s="4" t="n">
        <v>0.8426317330530957</v>
      </c>
      <c r="K12" s="4" t="n">
        <v>1.031731342121356</v>
      </c>
      <c r="L12" s="4" t="n">
        <v>13.91831466162983</v>
      </c>
      <c r="M12" s="4" t="n">
        <v>2.690578928709628</v>
      </c>
    </row>
    <row r="13">
      <c r="A13" s="4" t="inlineStr">
        <is>
          <t>AVGO</t>
        </is>
      </c>
      <c r="B13" s="6" t="inlineStr">
        <is>
          <t>NEUTRAL</t>
        </is>
      </c>
      <c r="C13" s="4" t="inlineStr"/>
      <c r="D13" s="4" t="inlineStr"/>
      <c r="E13" s="4" t="n">
        <v>0</v>
      </c>
      <c r="F13" s="4" t="n">
        <v>0</v>
      </c>
      <c r="G13" s="4" t="n">
        <v>331.489990234375</v>
      </c>
      <c r="H13" s="4" t="n">
        <v>42.00472860137731</v>
      </c>
      <c r="I13" s="4" t="n">
        <v>0.06013921985446125</v>
      </c>
      <c r="J13" s="4" t="n">
        <v>0.8046550212942131</v>
      </c>
      <c r="K13" s="4" t="n">
        <v>-5.650720527291497</v>
      </c>
      <c r="L13" s="4" t="n">
        <v>8.862479882672352</v>
      </c>
      <c r="M13" s="4" t="n">
        <v>3.831292182077064</v>
      </c>
    </row>
    <row r="14">
      <c r="A14" s="4" t="inlineStr">
        <is>
          <t>TSLA</t>
        </is>
      </c>
      <c r="B14" s="6" t="inlineStr">
        <is>
          <t>NEUTRAL</t>
        </is>
      </c>
      <c r="C14" s="4" t="inlineStr"/>
      <c r="D14" s="4" t="inlineStr"/>
      <c r="E14" s="4" t="n">
        <v>0</v>
      </c>
      <c r="F14" s="4" t="n">
        <v>0</v>
      </c>
      <c r="G14" s="4" t="n">
        <v>433.7000122070312</v>
      </c>
      <c r="H14" s="4" t="n">
        <v>45.07532792522911</v>
      </c>
      <c r="I14" s="4" t="n">
        <v>-1.216091669423149</v>
      </c>
      <c r="J14" s="4" t="n">
        <v>1.167130310130454</v>
      </c>
      <c r="K14" s="4" t="n">
        <v>-4.99160673730823</v>
      </c>
      <c r="L14" s="4" t="n">
        <v>14.96686169652718</v>
      </c>
      <c r="M14" s="4" t="n">
        <v>3.310385121792968</v>
      </c>
    </row>
    <row r="15">
      <c r="A15" s="4" t="inlineStr">
        <is>
          <t>COST</t>
        </is>
      </c>
      <c r="B15" s="6" t="inlineStr">
        <is>
          <t>NEUTRAL</t>
        </is>
      </c>
      <c r="C15" s="4" t="inlineStr"/>
      <c r="D15" s="4" t="inlineStr"/>
      <c r="E15" s="4" t="n">
        <v>0</v>
      </c>
      <c r="F15" s="4" t="n">
        <v>0</v>
      </c>
      <c r="G15" s="4" t="n">
        <v>941.47998046875</v>
      </c>
      <c r="H15" s="4" t="n">
        <v>57.16627775353658</v>
      </c>
      <c r="I15" s="4" t="n">
        <v>-1.756689207609636</v>
      </c>
      <c r="J15" s="4" t="n">
        <v>0.5867813775434738</v>
      </c>
      <c r="K15" s="4" t="n">
        <v>7.747956275083977</v>
      </c>
      <c r="L15" s="4" t="n">
        <v>-0.8839326708576675</v>
      </c>
      <c r="M15" s="4" t="n">
        <v>1.786322751693202</v>
      </c>
    </row>
    <row r="16">
      <c r="A16" s="4" t="inlineStr">
        <is>
          <t>PG</t>
        </is>
      </c>
      <c r="B16" s="6" t="inlineStr">
        <is>
          <t>NEUTRAL</t>
        </is>
      </c>
      <c r="C16" s="4" t="inlineStr"/>
      <c r="D16" s="4" t="inlineStr"/>
      <c r="E16" s="4" t="n">
        <v>0</v>
      </c>
      <c r="F16" s="4" t="n">
        <v>0</v>
      </c>
      <c r="G16" s="4" t="n">
        <v>151.7850036621094</v>
      </c>
      <c r="H16" s="4" t="n">
        <v>74.78889150714554</v>
      </c>
      <c r="I16" s="4" t="n">
        <v>0.781799145411322</v>
      </c>
      <c r="J16" s="4" t="n">
        <v>0.5899014722766764</v>
      </c>
      <c r="K16" s="4" t="n">
        <v>5.236354648747432</v>
      </c>
      <c r="L16" s="4" t="n">
        <v>-0.05545373010938025</v>
      </c>
      <c r="M16" s="4" t="n">
        <v>1.594136310608431</v>
      </c>
    </row>
    <row r="17">
      <c r="A17" s="4" t="inlineStr">
        <is>
          <t>ABBV</t>
        </is>
      </c>
      <c r="B17" s="6" t="inlineStr">
        <is>
          <t>NEUTRAL</t>
        </is>
      </c>
      <c r="C17" s="4" t="inlineStr"/>
      <c r="D17" s="4" t="inlineStr"/>
      <c r="E17" s="4" t="n">
        <v>0</v>
      </c>
      <c r="F17" s="4" t="n">
        <v>0</v>
      </c>
      <c r="G17" s="4" t="n">
        <v>223.4199981689453</v>
      </c>
      <c r="H17" s="4" t="n">
        <v>59.14876086933894</v>
      </c>
      <c r="I17" s="4" t="n">
        <v>0.6249967201550626</v>
      </c>
      <c r="J17" s="4" t="n">
        <v>0.3875425485620554</v>
      </c>
      <c r="K17" s="4" t="n">
        <v>-2.861589410700083</v>
      </c>
      <c r="L17" s="4" t="n">
        <v>8.733024354262801</v>
      </c>
      <c r="M17" s="4" t="n">
        <v>2.302041951213253</v>
      </c>
    </row>
    <row r="18">
      <c r="A18" s="4" t="inlineStr">
        <is>
          <t>NFLX</t>
        </is>
      </c>
      <c r="B18" s="6" t="inlineStr">
        <is>
          <t>NEUTRAL</t>
        </is>
      </c>
      <c r="C18" s="4" t="inlineStr"/>
      <c r="D18" s="4" t="inlineStr"/>
      <c r="E18" s="4" t="n">
        <v>0</v>
      </c>
      <c r="F18" s="4" t="n">
        <v>0</v>
      </c>
      <c r="G18" s="4" t="n">
        <v>83.58499908447266</v>
      </c>
      <c r="H18" s="4" t="n">
        <v>28.56619570905285</v>
      </c>
      <c r="I18" s="4" t="n">
        <v>0.03191256528833986</v>
      </c>
      <c r="J18" s="4" t="n">
        <v>0.6601698001825668</v>
      </c>
      <c r="K18" s="4" t="n">
        <v>-12.28157147516595</v>
      </c>
      <c r="L18" s="4" t="n">
        <v>-25.91758238645852</v>
      </c>
      <c r="M18" s="4" t="n">
        <v>2.758100576674239</v>
      </c>
    </row>
    <row r="19">
      <c r="A19" s="4" t="inlineStr">
        <is>
          <t>TMO</t>
        </is>
      </c>
      <c r="B19" s="6" t="inlineStr">
        <is>
          <t>NEUTRAL</t>
        </is>
      </c>
      <c r="C19" s="4" t="inlineStr"/>
      <c r="D19" s="4" t="inlineStr"/>
      <c r="E19" s="4" t="n">
        <v>0</v>
      </c>
      <c r="F19" s="4" t="n">
        <v>0</v>
      </c>
      <c r="G19" s="4" t="n">
        <v>577.344970703125</v>
      </c>
      <c r="H19" s="4" t="n">
        <v>32.61444557477111</v>
      </c>
      <c r="I19" s="4" t="n">
        <v>-5.764346792504885</v>
      </c>
      <c r="J19" s="4" t="n">
        <v>0.9538740838948401</v>
      </c>
      <c r="K19" s="4" t="n">
        <v>-1.792675374517549</v>
      </c>
      <c r="L19" s="4" t="n">
        <v>15.95185864960432</v>
      </c>
      <c r="M19" s="4" t="n">
        <v>2.905663922153654</v>
      </c>
    </row>
    <row r="20">
      <c r="A20" s="4" t="inlineStr">
        <is>
          <t>ACN</t>
        </is>
      </c>
      <c r="B20" s="6" t="inlineStr">
        <is>
          <t>NEUTRAL</t>
        </is>
      </c>
      <c r="C20" s="4" t="inlineStr"/>
      <c r="D20" s="4" t="inlineStr"/>
      <c r="E20" s="4" t="n">
        <v>0</v>
      </c>
      <c r="F20" s="4" t="n">
        <v>0</v>
      </c>
      <c r="G20" s="4" t="n">
        <v>263.4049987792969</v>
      </c>
      <c r="H20" s="4" t="n">
        <v>37.74749097965496</v>
      </c>
      <c r="I20" s="4" t="n">
        <v>-2.762463337900019</v>
      </c>
      <c r="J20" s="4" t="n">
        <v>0.6674725241806879</v>
      </c>
      <c r="K20" s="4" t="n">
        <v>-3.25383893012483</v>
      </c>
      <c r="L20" s="4" t="n">
        <v>-3.031984518081863</v>
      </c>
      <c r="M20" s="4" t="n">
        <v>3.476994779024438</v>
      </c>
    </row>
    <row r="21">
      <c r="A21" s="4" t="inlineStr">
        <is>
          <t>CSCO</t>
        </is>
      </c>
      <c r="B21" s="6" t="inlineStr">
        <is>
          <t>NEUTRAL</t>
        </is>
      </c>
      <c r="C21" s="4" t="inlineStr"/>
      <c r="D21" s="4" t="inlineStr"/>
      <c r="E21" s="4" t="n">
        <v>0</v>
      </c>
      <c r="F21" s="4" t="n">
        <v>0</v>
      </c>
      <c r="G21" s="4" t="n">
        <v>78.47499847412109</v>
      </c>
      <c r="H21" s="4" t="n">
        <v>69.84882260120568</v>
      </c>
      <c r="I21" s="4" t="n">
        <v>0.5193136987511232</v>
      </c>
      <c r="J21" s="4" t="n">
        <v>0.7955226740576001</v>
      </c>
      <c r="K21" s="4" t="n">
        <v>0.9916405306406695</v>
      </c>
      <c r="L21" s="4" t="n">
        <v>14.32483712625878</v>
      </c>
      <c r="M21" s="4" t="n">
        <v>2.004733953809749</v>
      </c>
    </row>
    <row r="22">
      <c r="A22" s="4" t="inlineStr">
        <is>
          <t>MCD</t>
        </is>
      </c>
      <c r="B22" s="6" t="inlineStr">
        <is>
          <t>NEUTRAL</t>
        </is>
      </c>
      <c r="C22" s="4" t="inlineStr"/>
      <c r="D22" s="4" t="inlineStr"/>
      <c r="E22" s="4" t="n">
        <v>0</v>
      </c>
      <c r="F22" s="4" t="n">
        <v>0</v>
      </c>
      <c r="G22" s="4" t="n">
        <v>314.8399963378906</v>
      </c>
      <c r="H22" s="4" t="n">
        <v>64.00889146612545</v>
      </c>
      <c r="I22" s="4" t="n">
        <v>1.015640978844439</v>
      </c>
      <c r="J22" s="4" t="n">
        <v>0.5900921725914371</v>
      </c>
      <c r="K22" s="4" t="n">
        <v>1.584052089133325</v>
      </c>
      <c r="L22" s="4" t="n">
        <v>3.619156003093567</v>
      </c>
      <c r="M22" s="4" t="n">
        <v>1.327924818095151</v>
      </c>
    </row>
    <row r="23">
      <c r="A23" s="4" t="inlineStr">
        <is>
          <t>WFC</t>
        </is>
      </c>
      <c r="B23" s="6" t="inlineStr">
        <is>
          <t>NEUTRAL</t>
        </is>
      </c>
      <c r="C23" s="4" t="inlineStr"/>
      <c r="D23" s="4" t="inlineStr"/>
      <c r="E23" s="4" t="n">
        <v>0</v>
      </c>
      <c r="F23" s="4" t="n">
        <v>0</v>
      </c>
      <c r="G23" s="4" t="n">
        <v>90.69999694824219</v>
      </c>
      <c r="H23" s="4" t="n">
        <v>35.35972631184791</v>
      </c>
      <c r="I23" s="4" t="n">
        <v>-0.1054317628536534</v>
      </c>
      <c r="J23" s="4" t="n">
        <v>0.6843724096030344</v>
      </c>
      <c r="K23" s="4" t="n">
        <v>-4.111796220952568</v>
      </c>
      <c r="L23" s="4" t="n">
        <v>11.36044454679026</v>
      </c>
      <c r="M23" s="4" t="n">
        <v>2.460230472853042</v>
      </c>
    </row>
    <row r="24">
      <c r="A24" s="4" t="inlineStr">
        <is>
          <t>IBM</t>
        </is>
      </c>
      <c r="B24" s="6" t="inlineStr">
        <is>
          <t>NEUTRAL</t>
        </is>
      </c>
      <c r="C24" s="4" t="inlineStr"/>
      <c r="D24" s="4" t="inlineStr"/>
      <c r="E24" s="4" t="n">
        <v>0</v>
      </c>
      <c r="F24" s="4" t="n">
        <v>0</v>
      </c>
      <c r="G24" s="4" t="n">
        <v>306.8299865722656</v>
      </c>
      <c r="H24" s="4" t="n">
        <v>51.4276261450355</v>
      </c>
      <c r="I24" s="4" t="n">
        <v>0.7580074675929462</v>
      </c>
      <c r="J24" s="4" t="n">
        <v>0.7219989364312601</v>
      </c>
      <c r="K24" s="4" t="n">
        <v>2.155899972295083</v>
      </c>
      <c r="L24" s="4" t="n">
        <v>11.263452437063</v>
      </c>
      <c r="M24" s="4" t="n">
        <v>3.208616977388353</v>
      </c>
    </row>
    <row r="25">
      <c r="A25" s="4" t="inlineStr">
        <is>
          <t>GE</t>
        </is>
      </c>
      <c r="B25" s="6" t="inlineStr">
        <is>
          <t>NEUTRAL</t>
        </is>
      </c>
      <c r="C25" s="4" t="inlineStr"/>
      <c r="D25" s="4" t="inlineStr"/>
      <c r="E25" s="4" t="n">
        <v>0</v>
      </c>
      <c r="F25" s="4" t="n">
        <v>0</v>
      </c>
      <c r="G25" s="4" t="n">
        <v>306.6799926757812</v>
      </c>
      <c r="H25" s="4" t="n">
        <v>41.39045831349403</v>
      </c>
      <c r="I25" s="4" t="n">
        <v>-2.369683733741808</v>
      </c>
      <c r="J25" s="4" t="n">
        <v>0.814886090193695</v>
      </c>
      <c r="K25" s="4" t="n">
        <v>-1.867663682620568</v>
      </c>
      <c r="L25" s="4" t="n">
        <v>12.15417667078899</v>
      </c>
      <c r="M25" s="4" t="n">
        <v>3.074399854545517</v>
      </c>
    </row>
    <row r="26">
      <c r="A26" s="4" t="inlineStr">
        <is>
          <t>DIS</t>
        </is>
      </c>
      <c r="B26" s="6" t="inlineStr">
        <is>
          <t>NEUTRAL</t>
        </is>
      </c>
      <c r="C26" s="4" t="inlineStr"/>
      <c r="D26" s="4" t="inlineStr"/>
      <c r="E26" s="4" t="n">
        <v>0</v>
      </c>
      <c r="F26" s="4" t="n">
        <v>0</v>
      </c>
      <c r="G26" s="4" t="n">
        <v>112.6750030517578</v>
      </c>
      <c r="H26" s="4" t="n">
        <v>40.7128521825024</v>
      </c>
      <c r="I26" s="4" t="n">
        <v>-0.286411221898038</v>
      </c>
      <c r="J26" s="4" t="n">
        <v>1.160432689872804</v>
      </c>
      <c r="K26" s="4" t="n">
        <v>-2.391855232488116</v>
      </c>
      <c r="L26" s="4" t="n">
        <v>1.269988109044153</v>
      </c>
      <c r="M26" s="4" t="n">
        <v>1.984847789266615</v>
      </c>
    </row>
    <row r="27">
      <c r="A27" s="4" t="inlineStr">
        <is>
          <t>CVX</t>
        </is>
      </c>
      <c r="B27" s="7" t="inlineStr">
        <is>
          <t>BEARISH (Mixed)</t>
        </is>
      </c>
      <c r="C27" s="4" t="inlineStr">
        <is>
          <t>VOLUME_ACCUMULATION, RS_LEADER</t>
        </is>
      </c>
      <c r="D27" s="4" t="inlineStr">
        <is>
          <t>OVERBOUGHT_WARNING</t>
        </is>
      </c>
      <c r="E27" s="4" t="n">
        <v>2</v>
      </c>
      <c r="F27" s="4" t="n">
        <v>1</v>
      </c>
      <c r="G27" s="4" t="n">
        <v>177.1399993896484</v>
      </c>
      <c r="H27" s="4" t="n">
        <v>89.03901975798334</v>
      </c>
      <c r="I27" s="4" t="n">
        <v>0.7284486927520843</v>
      </c>
      <c r="J27" s="4" t="n">
        <v>1.260082194916359</v>
      </c>
      <c r="K27" s="4" t="n">
        <v>14.79657353178954</v>
      </c>
      <c r="L27" s="4" t="n">
        <v>18.82908597865714</v>
      </c>
      <c r="M27" s="4" t="n">
        <v>1.733092918209147</v>
      </c>
    </row>
    <row r="28">
      <c r="A28" s="4" t="inlineStr">
        <is>
          <t>PM</t>
        </is>
      </c>
      <c r="B28" s="7" t="inlineStr">
        <is>
          <t>BEARISH (Mixed)</t>
        </is>
      </c>
      <c r="C28" s="4" t="inlineStr">
        <is>
          <t>RS_LEADER, GOLDEN_CROSS</t>
        </is>
      </c>
      <c r="D28" s="4" t="inlineStr">
        <is>
          <t>OVERBOUGHT_WARNING</t>
        </is>
      </c>
      <c r="E28" s="4" t="n">
        <v>2</v>
      </c>
      <c r="F28" s="4" t="n">
        <v>1</v>
      </c>
      <c r="G28" s="4" t="n">
        <v>180</v>
      </c>
      <c r="H28" s="4" t="n">
        <v>76.96122660734116</v>
      </c>
      <c r="I28" s="4" t="n">
        <v>0.8749669357912264</v>
      </c>
      <c r="J28" s="4" t="n">
        <v>1.099001163129242</v>
      </c>
      <c r="K28" s="4" t="n">
        <v>10.79006294208513</v>
      </c>
      <c r="L28" s="4" t="n">
        <v>10.27738149092596</v>
      </c>
      <c r="M28" s="4" t="n">
        <v>2.344292534722222</v>
      </c>
    </row>
    <row r="29">
      <c r="A29" s="4" t="inlineStr">
        <is>
          <t>TXN</t>
        </is>
      </c>
      <c r="B29" s="7" t="inlineStr">
        <is>
          <t>BEARISH (Mixed)</t>
        </is>
      </c>
      <c r="C29" s="4" t="inlineStr">
        <is>
          <t>RS_LEADER, GOLDEN_CROSS</t>
        </is>
      </c>
      <c r="D29" s="4" t="inlineStr">
        <is>
          <t>OVERBOUGHT_WARNING</t>
        </is>
      </c>
      <c r="E29" s="4" t="n">
        <v>2</v>
      </c>
      <c r="F29" s="4" t="n">
        <v>1</v>
      </c>
      <c r="G29" s="4" t="n">
        <v>215.7799987792969</v>
      </c>
      <c r="H29" s="4" t="n">
        <v>74.77142996217509</v>
      </c>
      <c r="I29" s="4" t="n">
        <v>2.470986920454971</v>
      </c>
      <c r="J29" s="4" t="n">
        <v>0.702063879897025</v>
      </c>
      <c r="K29" s="4" t="n">
        <v>22.94664738746106</v>
      </c>
      <c r="L29" s="4" t="n">
        <v>18.48229133085552</v>
      </c>
      <c r="M29" s="4" t="n">
        <v>2.843008429600608</v>
      </c>
    </row>
    <row r="30">
      <c r="A30" s="4" t="inlineStr">
        <is>
          <t>VZ</t>
        </is>
      </c>
      <c r="B30" s="7" t="inlineStr">
        <is>
          <t>BEARISH (Mixed)</t>
        </is>
      </c>
      <c r="C30" s="4" t="inlineStr">
        <is>
          <t>VOLUME_ACCUMULATION, RS_LEADER</t>
        </is>
      </c>
      <c r="D30" s="4" t="inlineStr">
        <is>
          <t>OVERBOUGHT_WARNING</t>
        </is>
      </c>
      <c r="E30" s="4" t="n">
        <v>2</v>
      </c>
      <c r="F30" s="4" t="n">
        <v>1</v>
      </c>
      <c r="G30" s="4" t="n">
        <v>44.46500015258789</v>
      </c>
      <c r="H30" s="4" t="n">
        <v>76.69129265397243</v>
      </c>
      <c r="I30" s="4" t="n">
        <v>0.3522321995047522</v>
      </c>
      <c r="J30" s="4" t="n">
        <v>3.212482544392613</v>
      </c>
      <c r="K30" s="4" t="n">
        <v>9.634835938690589</v>
      </c>
      <c r="L30" s="4" t="n">
        <v>9.087580478605423</v>
      </c>
      <c r="M30" s="4" t="n">
        <v>1.983100249577078</v>
      </c>
    </row>
    <row r="31">
      <c r="A31" s="4" t="inlineStr">
        <is>
          <t>XOM</t>
        </is>
      </c>
      <c r="B31" s="7" t="inlineStr">
        <is>
          <t>BEARISH (Mixed)</t>
        </is>
      </c>
      <c r="C31" s="4" t="inlineStr">
        <is>
          <t>RS_LEADER</t>
        </is>
      </c>
      <c r="D31" s="4" t="inlineStr">
        <is>
          <t>OVERBOUGHT_WARNING</t>
        </is>
      </c>
      <c r="E31" s="4" t="n">
        <v>1</v>
      </c>
      <c r="F31" s="4" t="n">
        <v>1</v>
      </c>
      <c r="G31" s="4" t="n">
        <v>141.9450073242188</v>
      </c>
      <c r="H31" s="4" t="n">
        <v>91.48122318575993</v>
      </c>
      <c r="I31" s="4" t="n">
        <v>1.021928784492803</v>
      </c>
      <c r="J31" s="4" t="n">
        <v>1.077160896685337</v>
      </c>
      <c r="K31" s="4" t="n">
        <v>16.523915962313</v>
      </c>
      <c r="L31" s="4" t="n">
        <v>26.45821395075906</v>
      </c>
      <c r="M31" s="4" t="n">
        <v>1.961522097051677</v>
      </c>
    </row>
    <row r="32">
      <c r="A32" s="4" t="inlineStr">
        <is>
          <t>JNJ</t>
        </is>
      </c>
      <c r="B32" s="7" t="inlineStr">
        <is>
          <t>BEARISH (Mixed)</t>
        </is>
      </c>
      <c r="C32" s="4" t="inlineStr">
        <is>
          <t>RS_LEADER</t>
        </is>
      </c>
      <c r="D32" s="4" t="inlineStr">
        <is>
          <t>OVERBOUGHT_WARNING</t>
        </is>
      </c>
      <c r="E32" s="4" t="n">
        <v>1</v>
      </c>
      <c r="F32" s="4" t="n">
        <v>1</v>
      </c>
      <c r="G32" s="4" t="n">
        <v>227.5899963378906</v>
      </c>
      <c r="H32" s="4" t="n">
        <v>92.67837403741486</v>
      </c>
      <c r="I32" s="4" t="n">
        <v>1.039989984566658</v>
      </c>
      <c r="J32" s="4" t="n">
        <v>0.612325434309449</v>
      </c>
      <c r="K32" s="4" t="n">
        <v>8.544030684755667</v>
      </c>
      <c r="L32" s="4" t="n">
        <v>27.74362896632084</v>
      </c>
      <c r="M32" s="4" t="n">
        <v>1.870217662612042</v>
      </c>
    </row>
    <row r="33">
      <c r="A33" s="4" t="inlineStr">
        <is>
          <t>KO</t>
        </is>
      </c>
      <c r="B33" s="7" t="inlineStr">
        <is>
          <t>BEARISH (Mixed)</t>
        </is>
      </c>
      <c r="C33" s="4" t="inlineStr">
        <is>
          <t>RS_LEADER</t>
        </is>
      </c>
      <c r="D33" s="4" t="inlineStr">
        <is>
          <t>OVERBOUGHT_WARNING</t>
        </is>
      </c>
      <c r="E33" s="4" t="n">
        <v>1</v>
      </c>
      <c r="F33" s="4" t="n">
        <v>1</v>
      </c>
      <c r="G33" s="4" t="n">
        <v>74.81500244140625</v>
      </c>
      <c r="H33" s="4" t="n">
        <v>76.17017092597969</v>
      </c>
      <c r="I33" s="4" t="n">
        <v>0.3704038912810428</v>
      </c>
      <c r="J33" s="4" t="n">
        <v>1.035025898078733</v>
      </c>
      <c r="K33" s="4" t="n">
        <v>5.58676882568574</v>
      </c>
      <c r="L33" s="4" t="n">
        <v>8.074469065191844</v>
      </c>
      <c r="M33" s="4" t="n">
        <v>1.46742866839394</v>
      </c>
    </row>
    <row r="34">
      <c r="A34" s="4" t="inlineStr">
        <is>
          <t>PEP</t>
        </is>
      </c>
      <c r="B34" s="7" t="inlineStr">
        <is>
          <t>BEARISH (Mixed)</t>
        </is>
      </c>
      <c r="C34" s="4" t="inlineStr">
        <is>
          <t>RS_LEADER</t>
        </is>
      </c>
      <c r="D34" s="4" t="inlineStr">
        <is>
          <t>OVERBOUGHT_WARNING</t>
        </is>
      </c>
      <c r="E34" s="4" t="n">
        <v>1</v>
      </c>
      <c r="F34" s="4" t="n">
        <v>1</v>
      </c>
      <c r="G34" s="4" t="n">
        <v>153.0700073242188</v>
      </c>
      <c r="H34" s="4" t="n">
        <v>81.72611016040105</v>
      </c>
      <c r="I34" s="4" t="n">
        <v>0.9124616353432039</v>
      </c>
      <c r="J34" s="4" t="n">
        <v>0.7795148292486545</v>
      </c>
      <c r="K34" s="4" t="n">
        <v>5.224734089280325</v>
      </c>
      <c r="L34" s="4" t="n">
        <v>9.643333812300824</v>
      </c>
      <c r="M34" s="4" t="n">
        <v>1.767632844407667</v>
      </c>
    </row>
    <row r="35">
      <c r="A35" s="4" t="inlineStr">
        <is>
          <t>MSFT</t>
        </is>
      </c>
      <c r="B35" s="7" t="inlineStr">
        <is>
          <t>BEARISH</t>
        </is>
      </c>
      <c r="C35" s="4" t="inlineStr"/>
      <c r="D35" s="4" t="inlineStr">
        <is>
          <t>TREND_REVERSAL</t>
        </is>
      </c>
      <c r="E35" s="4" t="n">
        <v>0</v>
      </c>
      <c r="F35" s="4" t="n">
        <v>1</v>
      </c>
      <c r="G35" s="4" t="n">
        <v>428.1400146484375</v>
      </c>
      <c r="H35" s="4" t="n">
        <v>30.71353548411155</v>
      </c>
      <c r="I35" s="4" t="n">
        <v>-2.053718409773679</v>
      </c>
      <c r="J35" s="4" t="n">
        <v>1.384586880853229</v>
      </c>
      <c r="K35" s="4" t="n">
        <v>-12.90120549251703</v>
      </c>
      <c r="L35" s="4" t="n">
        <v>-11.69024103236289</v>
      </c>
      <c r="M35" s="4" t="n">
        <v>3.420609434277123</v>
      </c>
    </row>
    <row r="36">
      <c r="A36" s="4" t="inlineStr">
        <is>
          <t>BRK-B</t>
        </is>
      </c>
      <c r="B36" s="7" t="inlineStr">
        <is>
          <t>BEARISH</t>
        </is>
      </c>
      <c r="C36" s="4" t="inlineStr"/>
      <c r="D36" s="4" t="inlineStr">
        <is>
          <t>TREND_REVERSAL, DEATH_CROSS</t>
        </is>
      </c>
      <c r="E36" s="4" t="n">
        <v>0</v>
      </c>
      <c r="F36" s="4" t="n">
        <v>2</v>
      </c>
      <c r="G36" s="4" t="n">
        <v>480.5599975585938</v>
      </c>
      <c r="H36" s="4" t="n">
        <v>29.09338683423553</v>
      </c>
      <c r="I36" s="4" t="n">
        <v>-1.275406676327995</v>
      </c>
      <c r="J36" s="4" t="n">
        <v>0.6348177180509851</v>
      </c>
      <c r="K36" s="4" t="n">
        <v>-5.824100071795113</v>
      </c>
      <c r="L36" s="4" t="n">
        <v>-2.862794866239498</v>
      </c>
      <c r="M36" s="4" t="n">
        <v>1.239737154302414</v>
      </c>
    </row>
    <row r="37">
      <c r="A37" s="4" t="inlineStr">
        <is>
          <t>LLY</t>
        </is>
      </c>
      <c r="B37" s="7" t="inlineStr">
        <is>
          <t>BEARISH</t>
        </is>
      </c>
      <c r="C37" s="4" t="inlineStr"/>
      <c r="D37" s="4" t="inlineStr">
        <is>
          <t>TREND_REVERSAL</t>
        </is>
      </c>
      <c r="E37" s="4" t="n">
        <v>0</v>
      </c>
      <c r="F37" s="4" t="n">
        <v>1</v>
      </c>
      <c r="G37" s="4" t="n">
        <v>1034.890014648438</v>
      </c>
      <c r="H37" s="4" t="n">
        <v>42.63170476748608</v>
      </c>
      <c r="I37" s="4" t="n">
        <v>-6.451809083600665</v>
      </c>
      <c r="J37" s="4" t="n">
        <v>0.7729108800812229</v>
      </c>
      <c r="K37" s="4" t="n">
        <v>-5.131893637024609</v>
      </c>
      <c r="L37" s="4" t="n">
        <v>21.54246089286754</v>
      </c>
      <c r="M37" s="4" t="n">
        <v>2.955039834790393</v>
      </c>
    </row>
    <row r="38">
      <c r="A38" s="4" t="inlineStr">
        <is>
          <t>JPM</t>
        </is>
      </c>
      <c r="B38" s="7" t="inlineStr">
        <is>
          <t>BEARISH</t>
        </is>
      </c>
      <c r="C38" s="4" t="inlineStr"/>
      <c r="D38" s="4" t="inlineStr">
        <is>
          <t>TREND_REVERSAL</t>
        </is>
      </c>
      <c r="E38" s="4" t="n">
        <v>0</v>
      </c>
      <c r="F38" s="4" t="n">
        <v>1</v>
      </c>
      <c r="G38" s="4" t="n">
        <v>305.8299865722656</v>
      </c>
      <c r="H38" s="4" t="n">
        <v>28.60807038037935</v>
      </c>
      <c r="I38" s="4" t="n">
        <v>-0.9812375161934228</v>
      </c>
      <c r="J38" s="4" t="n">
        <v>0.5912110333031705</v>
      </c>
      <c r="K38" s="4" t="n">
        <v>-6.087852543777239</v>
      </c>
      <c r="L38" s="4" t="n">
        <v>5.136416140417369</v>
      </c>
      <c r="M38" s="4" t="n">
        <v>2.209385882341168</v>
      </c>
    </row>
    <row r="39">
      <c r="A39" s="4" t="inlineStr">
        <is>
          <t>UNH</t>
        </is>
      </c>
      <c r="B39" s="7" t="inlineStr">
        <is>
          <t>BEARISH</t>
        </is>
      </c>
      <c r="C39" s="4" t="inlineStr"/>
      <c r="D39" s="4" t="inlineStr">
        <is>
          <t>TREND_REVERSAL, DEATH_CROSS</t>
        </is>
      </c>
      <c r="E39" s="4" t="n">
        <v>0</v>
      </c>
      <c r="F39" s="4" t="n">
        <v>2</v>
      </c>
      <c r="G39" s="4" t="n">
        <v>287.4700012207031</v>
      </c>
      <c r="H39" s="4" t="n">
        <v>29.77306579641287</v>
      </c>
      <c r="I39" s="4" t="n">
        <v>-6.813755615984752</v>
      </c>
      <c r="J39" s="4" t="n">
        <v>0.8758094106793842</v>
      </c>
      <c r="K39" s="4" t="n">
        <v>-14.34629495131182</v>
      </c>
      <c r="L39" s="4" t="n">
        <v>-11.77215706925914</v>
      </c>
      <c r="M39" s="4" t="n">
        <v>4.679496427584527</v>
      </c>
    </row>
    <row r="40">
      <c r="A40" s="4" t="inlineStr">
        <is>
          <t>V</t>
        </is>
      </c>
      <c r="B40" s="7" t="inlineStr">
        <is>
          <t>BEARISH</t>
        </is>
      </c>
      <c r="C40" s="4" t="inlineStr"/>
      <c r="D40" s="4" t="inlineStr">
        <is>
          <t>TREND_REVERSAL</t>
        </is>
      </c>
      <c r="E40" s="4" t="n">
        <v>0</v>
      </c>
      <c r="F40" s="4" t="n">
        <v>1</v>
      </c>
      <c r="G40" s="4" t="n">
        <v>322.2900085449219</v>
      </c>
      <c r="H40" s="4" t="n">
        <v>23.06934957112608</v>
      </c>
      <c r="I40" s="4" t="n">
        <v>-0.9052526521389637</v>
      </c>
      <c r="J40" s="4" t="n">
        <v>0.972877056761775</v>
      </c>
      <c r="K40" s="4" t="n">
        <v>-9.5329493711377</v>
      </c>
      <c r="L40" s="4" t="n">
        <v>-6.343017222507818</v>
      </c>
      <c r="M40" s="4" t="n">
        <v>2.2759012565513</v>
      </c>
    </row>
    <row r="41">
      <c r="A41" s="4" t="inlineStr">
        <is>
          <t>MA</t>
        </is>
      </c>
      <c r="B41" s="7" t="inlineStr">
        <is>
          <t>BEARISH</t>
        </is>
      </c>
      <c r="C41" s="4" t="inlineStr"/>
      <c r="D41" s="4" t="inlineStr">
        <is>
          <t>TREND_REVERSAL</t>
        </is>
      </c>
      <c r="E41" s="4" t="n">
        <v>0</v>
      </c>
      <c r="F41" s="4" t="n">
        <v>1</v>
      </c>
      <c r="G41" s="4" t="n">
        <v>537.6300048828125</v>
      </c>
      <c r="H41" s="4" t="n">
        <v>31.77930178294524</v>
      </c>
      <c r="I41" s="4" t="n">
        <v>-1.057011366118112</v>
      </c>
      <c r="J41" s="4" t="n">
        <v>0.6642515825202869</v>
      </c>
      <c r="K41" s="4" t="n">
        <v>-7.112277978685211</v>
      </c>
      <c r="L41" s="4" t="n">
        <v>-4.305795341477654</v>
      </c>
      <c r="M41" s="4" t="n">
        <v>2.392876969418118</v>
      </c>
    </row>
    <row r="42">
      <c r="A42" s="4" t="inlineStr">
        <is>
          <t>CRM</t>
        </is>
      </c>
      <c r="B42" s="7" t="inlineStr">
        <is>
          <t>BEARISH</t>
        </is>
      </c>
      <c r="C42" s="4" t="inlineStr"/>
      <c r="D42" s="4" t="inlineStr">
        <is>
          <t>TREND_REVERSAL</t>
        </is>
      </c>
      <c r="E42" s="4" t="n">
        <v>0</v>
      </c>
      <c r="F42" s="4" t="n">
        <v>1</v>
      </c>
      <c r="G42" s="4" t="n">
        <v>212.1799926757812</v>
      </c>
      <c r="H42" s="4" t="n">
        <v>14.09020174193498</v>
      </c>
      <c r="I42" s="4" t="n">
        <v>-2.477460092631667</v>
      </c>
      <c r="J42" s="4" t="n">
        <v>0.8899093503979778</v>
      </c>
      <c r="K42" s="4" t="n">
        <v>-21.3342699248855</v>
      </c>
      <c r="L42" s="4" t="n">
        <v>-16.29693961745653</v>
      </c>
      <c r="M42" s="4" t="n">
        <v>3.792266280066008</v>
      </c>
    </row>
    <row r="43">
      <c r="A43" s="4" t="inlineStr">
        <is>
          <t>BAC</t>
        </is>
      </c>
      <c r="B43" s="7" t="inlineStr">
        <is>
          <t>BEARISH</t>
        </is>
      </c>
      <c r="C43" s="4" t="inlineStr"/>
      <c r="D43" s="4" t="inlineStr">
        <is>
          <t>TREND_REVERSAL</t>
        </is>
      </c>
      <c r="E43" s="4" t="n">
        <v>0</v>
      </c>
      <c r="F43" s="4" t="n">
        <v>1</v>
      </c>
      <c r="G43" s="4" t="n">
        <v>53.31579971313477</v>
      </c>
      <c r="H43" s="4" t="n">
        <v>34.52075324683798</v>
      </c>
      <c r="I43" s="4" t="n">
        <v>-0.07658693710009812</v>
      </c>
      <c r="J43" s="4" t="n">
        <v>0.570956447196811</v>
      </c>
      <c r="K43" s="4" t="n">
        <v>-4.491575039398032</v>
      </c>
      <c r="L43" s="4" t="n">
        <v>9.415452959293086</v>
      </c>
      <c r="M43" s="4" t="n">
        <v>2.069207007776027</v>
      </c>
    </row>
    <row r="44">
      <c r="A44" s="4" t="inlineStr">
        <is>
          <t>ORCL</t>
        </is>
      </c>
      <c r="B44" s="7" t="inlineStr">
        <is>
          <t>BEARISH</t>
        </is>
      </c>
      <c r="C44" s="4" t="inlineStr"/>
      <c r="D44" s="4" t="inlineStr">
        <is>
          <t>TREND_REVERSAL</t>
        </is>
      </c>
      <c r="E44" s="4" t="n">
        <v>0</v>
      </c>
      <c r="F44" s="4" t="n">
        <v>1</v>
      </c>
      <c r="G44" s="4" t="n">
        <v>164.5005950927734</v>
      </c>
      <c r="H44" s="4" t="n">
        <v>24.97812616299454</v>
      </c>
      <c r="I44" s="4" t="n">
        <v>-1.570779910437686</v>
      </c>
      <c r="J44" s="4" t="n">
        <v>0.8358540556313078</v>
      </c>
      <c r="K44" s="4" t="n">
        <v>-16.80806191681786</v>
      </c>
      <c r="L44" s="4" t="n">
        <v>-24.79009604301284</v>
      </c>
      <c r="M44" s="4" t="n">
        <v>5.150218888955601</v>
      </c>
    </row>
    <row r="45">
      <c r="A45" s="4" t="inlineStr">
        <is>
          <t>ADBE</t>
        </is>
      </c>
      <c r="B45" s="7" t="inlineStr">
        <is>
          <t>BEARISH</t>
        </is>
      </c>
      <c r="C45" s="4" t="inlineStr"/>
      <c r="D45" s="4" t="inlineStr">
        <is>
          <t>TREND_REVERSAL</t>
        </is>
      </c>
      <c r="E45" s="4" t="n">
        <v>0</v>
      </c>
      <c r="F45" s="4" t="n">
        <v>1</v>
      </c>
      <c r="G45" s="4" t="n">
        <v>292.9599914550781</v>
      </c>
      <c r="H45" s="4" t="n">
        <v>23.25457753868859</v>
      </c>
      <c r="I45" s="4" t="n">
        <v>-1.011588947967322</v>
      </c>
      <c r="J45" s="4" t="n">
        <v>0.7903073259690798</v>
      </c>
      <c r="K45" s="4" t="n">
        <v>-17.72414408413439</v>
      </c>
      <c r="L45" s="4" t="n">
        <v>-17.77416774834913</v>
      </c>
      <c r="M45" s="4" t="n">
        <v>2.949938637302416</v>
      </c>
    </row>
    <row r="46">
      <c r="A46" s="4" t="inlineStr">
        <is>
          <t>ABT</t>
        </is>
      </c>
      <c r="B46" s="7" t="inlineStr">
        <is>
          <t>BEARISH</t>
        </is>
      </c>
      <c r="C46" s="4" t="inlineStr"/>
      <c r="D46" s="4" t="inlineStr">
        <is>
          <t>TREND_REVERSAL</t>
        </is>
      </c>
      <c r="E46" s="4" t="n">
        <v>0</v>
      </c>
      <c r="F46" s="4" t="n">
        <v>1</v>
      </c>
      <c r="G46" s="4" t="n">
        <v>109.1949996948242</v>
      </c>
      <c r="H46" s="4" t="n">
        <v>19.61020292180658</v>
      </c>
      <c r="I46" s="4" t="n">
        <v>-1.385836471787121</v>
      </c>
      <c r="J46" s="4" t="n">
        <v>1.009518046879147</v>
      </c>
      <c r="K46" s="4" t="n">
        <v>-13.83410983343456</v>
      </c>
      <c r="L46" s="4" t="n">
        <v>-14.67622439695967</v>
      </c>
      <c r="M46" s="4" t="n">
        <v>3.140257238817475</v>
      </c>
    </row>
    <row r="47">
      <c r="A47" s="4" t="inlineStr">
        <is>
          <t>NOW</t>
        </is>
      </c>
      <c r="B47" s="7" t="inlineStr">
        <is>
          <t>BEARISH</t>
        </is>
      </c>
      <c r="C47" s="4" t="inlineStr"/>
      <c r="D47" s="4" t="inlineStr">
        <is>
          <t>TREND_REVERSAL</t>
        </is>
      </c>
      <c r="E47" s="4" t="n">
        <v>0</v>
      </c>
      <c r="F47" s="4" t="n">
        <v>1</v>
      </c>
      <c r="G47" s="4" t="n">
        <v>116.1949996948242</v>
      </c>
      <c r="H47" s="4" t="n">
        <v>24.06562100727825</v>
      </c>
      <c r="I47" s="4" t="n">
        <v>-0.7947043574469754</v>
      </c>
      <c r="J47" s="4" t="n">
        <v>1.402437123733855</v>
      </c>
      <c r="K47" s="4" t="n">
        <v>-25.57914278580308</v>
      </c>
      <c r="L47" s="4" t="n">
        <v>-35.03527544053215</v>
      </c>
      <c r="M47" s="4" t="n">
        <v>4.716212252136132</v>
      </c>
    </row>
    <row r="48">
      <c r="A48" s="4" t="inlineStr">
        <is>
          <t>ISRG</t>
        </is>
      </c>
      <c r="B48" s="7" t="inlineStr">
        <is>
          <t>BEARISH</t>
        </is>
      </c>
      <c r="C48" s="4" t="inlineStr"/>
      <c r="D48" s="4" t="inlineStr">
        <is>
          <t>TREND_REVERSAL</t>
        </is>
      </c>
      <c r="E48" s="4" t="n">
        <v>0</v>
      </c>
      <c r="F48" s="4" t="n">
        <v>1</v>
      </c>
      <c r="G48" s="4" t="n">
        <v>504.6600036621094</v>
      </c>
      <c r="H48" s="4" t="n">
        <v>7.270063966716464</v>
      </c>
      <c r="I48" s="4" t="n">
        <v>-4.6022522343867</v>
      </c>
      <c r="J48" s="4" t="n">
        <v>0.4669948134872516</v>
      </c>
      <c r="K48" s="4" t="n">
        <v>-12.32352068983881</v>
      </c>
      <c r="L48" s="4" t="n">
        <v>-2.260579267396225</v>
      </c>
      <c r="M48" s="4" t="n">
        <v>3.011574438163263</v>
      </c>
    </row>
    <row r="49">
      <c r="A49" s="4" t="inlineStr">
        <is>
          <t>QCOM</t>
        </is>
      </c>
      <c r="B49" s="7" t="inlineStr">
        <is>
          <t>BEARISH</t>
        </is>
      </c>
      <c r="C49" s="4" t="inlineStr"/>
      <c r="D49" s="4" t="inlineStr">
        <is>
          <t>TREND_REVERSAL</t>
        </is>
      </c>
      <c r="E49" s="4" t="n">
        <v>0</v>
      </c>
      <c r="F49" s="4" t="n">
        <v>1</v>
      </c>
      <c r="G49" s="4" t="n">
        <v>151.8200073242188</v>
      </c>
      <c r="H49" s="4" t="n">
        <v>11.16097437143071</v>
      </c>
      <c r="I49" s="4" t="n">
        <v>-1.167590124275962</v>
      </c>
      <c r="J49" s="4" t="n">
        <v>0.5023575381502798</v>
      </c>
      <c r="K49" s="4" t="n">
        <v>-12.67171680630811</v>
      </c>
      <c r="L49" s="4" t="n">
        <v>-4.818182303237887</v>
      </c>
      <c r="M49" s="4" t="n">
        <v>2.622699185667668</v>
      </c>
    </row>
    <row r="50">
      <c r="A50" s="4" t="inlineStr">
        <is>
          <t>INTU</t>
        </is>
      </c>
      <c r="B50" s="7" t="inlineStr">
        <is>
          <t>BEARISH</t>
        </is>
      </c>
      <c r="C50" s="4" t="inlineStr"/>
      <c r="D50" s="4" t="inlineStr">
        <is>
          <t>TREND_REVERSAL</t>
        </is>
      </c>
      <c r="E50" s="4" t="n">
        <v>0</v>
      </c>
      <c r="F50" s="4" t="n">
        <v>1</v>
      </c>
      <c r="G50" s="4" t="n">
        <v>497.2200012207031</v>
      </c>
      <c r="H50" s="4" t="n">
        <v>17.14372991581473</v>
      </c>
      <c r="I50" s="4" t="n">
        <v>-6.133848627418487</v>
      </c>
      <c r="J50" s="4" t="n">
        <v>0.8814345763573946</v>
      </c>
      <c r="K50" s="4" t="n">
        <v>-26.23000677846436</v>
      </c>
      <c r="L50" s="4" t="n">
        <v>-26.70073014074518</v>
      </c>
      <c r="M50" s="4" t="n">
        <v>4.605559466353167</v>
      </c>
    </row>
    <row r="51">
      <c r="A51" s="4" t="inlineStr">
        <is>
          <t>BKNG</t>
        </is>
      </c>
      <c r="B51" s="7" t="inlineStr">
        <is>
          <t>BEARISH</t>
        </is>
      </c>
      <c r="C51" s="4" t="inlineStr"/>
      <c r="D51" s="4" t="inlineStr">
        <is>
          <t>TREND_REVERSAL</t>
        </is>
      </c>
      <c r="E51" s="4" t="n">
        <v>0</v>
      </c>
      <c r="F51" s="4" t="n">
        <v>1</v>
      </c>
      <c r="G51" s="4" t="n">
        <v>5006.97021484375</v>
      </c>
      <c r="H51" s="4" t="n">
        <v>24.09712242969798</v>
      </c>
      <c r="I51" s="4" t="n">
        <v>-24.98777535787011</v>
      </c>
      <c r="J51" s="4" t="n">
        <v>0.9387210398256316</v>
      </c>
      <c r="K51" s="4" t="n">
        <v>-7.934311317156495</v>
      </c>
      <c r="L51" s="4" t="n">
        <v>-5.595624630135161</v>
      </c>
      <c r="M51" s="4" t="n">
        <v>2.63762186990304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Ticker</t>
        </is>
      </c>
      <c r="B1" s="8" t="inlineStr">
        <is>
          <t>Signal</t>
        </is>
      </c>
      <c r="C1" s="8" t="inlineStr">
        <is>
          <t>Bullish_Setups</t>
        </is>
      </c>
      <c r="D1" s="8" t="inlineStr">
        <is>
          <t>Bearish_Setups</t>
        </is>
      </c>
      <c r="E1" s="8" t="inlineStr">
        <is>
          <t>Num_Bullish</t>
        </is>
      </c>
      <c r="F1" s="8" t="inlineStr">
        <is>
          <t>Num_Bearish</t>
        </is>
      </c>
      <c r="G1" s="8" t="inlineStr">
        <is>
          <t>Price</t>
        </is>
      </c>
      <c r="H1" s="8" t="inlineStr">
        <is>
          <t>RSI</t>
        </is>
      </c>
      <c r="I1" s="8" t="inlineStr">
        <is>
          <t>MACD_Hist</t>
        </is>
      </c>
      <c r="J1" s="8" t="inlineStr">
        <is>
          <t>Vol_Ratio</t>
        </is>
      </c>
      <c r="K1" s="8" t="inlineStr">
        <is>
          <t>RS_vs_SPY</t>
        </is>
      </c>
      <c r="L1" s="8" t="inlineStr">
        <is>
          <t>Dist_200_SMA</t>
        </is>
      </c>
      <c r="M1" s="8" t="inlineStr">
        <is>
          <t>ATR_Pct</t>
        </is>
      </c>
    </row>
    <row r="2">
      <c r="A2" s="4" t="inlineStr">
        <is>
          <t>HD</t>
        </is>
      </c>
      <c r="B2" s="4" t="inlineStr">
        <is>
          <t>BULLISH</t>
        </is>
      </c>
      <c r="C2" s="4" t="inlineStr">
        <is>
          <t>PULLBACK_SUPPORT, RS_LEADER</t>
        </is>
      </c>
      <c r="D2" s="4" t="inlineStr"/>
      <c r="E2" s="4" t="n">
        <v>2</v>
      </c>
      <c r="F2" s="4" t="n">
        <v>0</v>
      </c>
      <c r="G2" s="4" t="n">
        <v>374.6849975585938</v>
      </c>
      <c r="H2" s="4" t="n">
        <v>50.04134076457417</v>
      </c>
      <c r="I2" s="4" t="n">
        <v>-0.638454129071321</v>
      </c>
      <c r="J2" s="4" t="n">
        <v>0.5141743198544929</v>
      </c>
      <c r="K2" s="4" t="n">
        <v>7.459009192996623</v>
      </c>
      <c r="L2" s="4" t="n">
        <v>0.9208785482642337</v>
      </c>
      <c r="M2" s="4" t="n">
        <v>1.974077904400397</v>
      </c>
    </row>
    <row r="3">
      <c r="A3" s="4" t="inlineStr">
        <is>
          <t>GOOGL</t>
        </is>
      </c>
      <c r="B3" s="4" t="inlineStr">
        <is>
          <t>BULLISH</t>
        </is>
      </c>
      <c r="C3" s="4" t="inlineStr">
        <is>
          <t>RS_LEADER</t>
        </is>
      </c>
      <c r="D3" s="4" t="inlineStr"/>
      <c r="E3" s="4" t="n">
        <v>1</v>
      </c>
      <c r="F3" s="4" t="n">
        <v>0</v>
      </c>
      <c r="G3" s="4" t="n">
        <v>338.0400085449219</v>
      </c>
      <c r="H3" s="4" t="n">
        <v>60.99883529943013</v>
      </c>
      <c r="I3" s="4" t="n">
        <v>0.1447363602682463</v>
      </c>
      <c r="J3" s="4" t="n">
        <v>0.6542468895266791</v>
      </c>
      <c r="K3" s="4" t="n">
        <v>6.570610030363921</v>
      </c>
      <c r="L3" s="4" t="n">
        <v>44.32901611722072</v>
      </c>
      <c r="M3" s="4" t="n">
        <v>2.447406451511392</v>
      </c>
    </row>
    <row r="4">
      <c r="A4" s="4" t="inlineStr">
        <is>
          <t>AMZN</t>
        </is>
      </c>
      <c r="B4" s="4" t="inlineStr">
        <is>
          <t>BULLISH</t>
        </is>
      </c>
      <c r="C4" s="4" t="inlineStr">
        <is>
          <t>PULLBACK_SUPPORT</t>
        </is>
      </c>
      <c r="D4" s="4" t="inlineStr"/>
      <c r="E4" s="4" t="n">
        <v>1</v>
      </c>
      <c r="F4" s="4" t="n">
        <v>0</v>
      </c>
      <c r="G4" s="4" t="n">
        <v>238.9700012207031</v>
      </c>
      <c r="H4" s="4" t="n">
        <v>40.03317945550105</v>
      </c>
      <c r="I4" s="4" t="n">
        <v>0.01376200169383868</v>
      </c>
      <c r="J4" s="4" t="n">
        <v>0.7691548262895774</v>
      </c>
      <c r="K4" s="4" t="n">
        <v>2.101494414937344</v>
      </c>
      <c r="L4" s="4" t="n">
        <v>7.749467319683778</v>
      </c>
      <c r="M4" s="4" t="n">
        <v>2.342045185805965</v>
      </c>
    </row>
    <row r="5">
      <c r="A5" s="4" t="inlineStr">
        <is>
          <t>META</t>
        </is>
      </c>
      <c r="B5" s="4" t="inlineStr">
        <is>
          <t>BULLISH</t>
        </is>
      </c>
      <c r="C5" s="4" t="inlineStr">
        <is>
          <t>RS_LEADER</t>
        </is>
      </c>
      <c r="D5" s="4" t="inlineStr"/>
      <c r="E5" s="4" t="n">
        <v>1</v>
      </c>
      <c r="F5" s="4" t="n">
        <v>0</v>
      </c>
      <c r="G5" s="4" t="n">
        <v>716.77001953125</v>
      </c>
      <c r="H5" s="4" t="n">
        <v>64.23942838481167</v>
      </c>
      <c r="I5" s="4" t="n">
        <v>10.42745932631945</v>
      </c>
      <c r="J5" s="4" t="n">
        <v>1.013711631560223</v>
      </c>
      <c r="K5" s="4" t="n">
        <v>7.157313714600599</v>
      </c>
      <c r="L5" s="4" t="n">
        <v>5.316390292829531</v>
      </c>
      <c r="M5" s="4" t="n">
        <v>3.133701729774811</v>
      </c>
    </row>
    <row r="6">
      <c r="A6" s="4" t="inlineStr">
        <is>
          <t>WMT</t>
        </is>
      </c>
      <c r="B6" s="4" t="inlineStr">
        <is>
          <t>BULLISH</t>
        </is>
      </c>
      <c r="C6" s="4" t="inlineStr">
        <is>
          <t>RS_LEADER</t>
        </is>
      </c>
      <c r="D6" s="4" t="inlineStr"/>
      <c r="E6" s="4" t="n">
        <v>1</v>
      </c>
      <c r="F6" s="4" t="n">
        <v>0</v>
      </c>
      <c r="G6" s="4" t="n">
        <v>119.245002746582</v>
      </c>
      <c r="H6" s="4" t="n">
        <v>66.15279584860824</v>
      </c>
      <c r="I6" s="4" t="n">
        <v>-0.2160404981846531</v>
      </c>
      <c r="J6" s="4" t="n">
        <v>0.2632466343083429</v>
      </c>
      <c r="K6" s="4" t="n">
        <v>5.603188600897147</v>
      </c>
      <c r="L6" s="4" t="n">
        <v>16.05704278938381</v>
      </c>
      <c r="M6" s="4" t="n">
        <v>2.098919083139682</v>
      </c>
    </row>
    <row r="7">
      <c r="A7" s="4" t="inlineStr">
        <is>
          <t>MRK</t>
        </is>
      </c>
      <c r="B7" s="4" t="inlineStr">
        <is>
          <t>BULLISH</t>
        </is>
      </c>
      <c r="C7" s="4" t="inlineStr">
        <is>
          <t>PULLBACK_SUPPORT</t>
        </is>
      </c>
      <c r="D7" s="4" t="inlineStr"/>
      <c r="E7" s="4" t="n">
        <v>1</v>
      </c>
      <c r="F7" s="4" t="n">
        <v>0</v>
      </c>
      <c r="G7" s="4" t="n">
        <v>110.4000015258789</v>
      </c>
      <c r="H7" s="4" t="n">
        <v>49.6434521714493</v>
      </c>
      <c r="I7" s="4" t="n">
        <v>-0.5024822804229612</v>
      </c>
      <c r="J7" s="4" t="n">
        <v>0.9781831883715665</v>
      </c>
      <c r="K7" s="4" t="n">
        <v>3.453753115797942</v>
      </c>
      <c r="L7" s="4" t="n">
        <v>27.37877962896279</v>
      </c>
      <c r="M7" s="4" t="n">
        <v>2.241201744931752</v>
      </c>
    </row>
    <row r="8">
      <c r="A8" s="4" t="inlineStr">
        <is>
          <t>AMD</t>
        </is>
      </c>
      <c r="B8" s="4" t="inlineStr">
        <is>
          <t>BULLISH</t>
        </is>
      </c>
      <c r="C8" s="4" t="inlineStr">
        <is>
          <t>RS_LEADER</t>
        </is>
      </c>
      <c r="D8" s="4" t="inlineStr"/>
      <c r="E8" s="4" t="n">
        <v>1</v>
      </c>
      <c r="F8" s="4" t="n">
        <v>0</v>
      </c>
      <c r="G8" s="4" t="n">
        <v>236.7100067138672</v>
      </c>
      <c r="H8" s="4" t="n">
        <v>70.36677801592741</v>
      </c>
      <c r="I8" s="4" t="n">
        <v>1.420722224103823</v>
      </c>
      <c r="J8" s="4" t="n">
        <v>0.8676710417427262</v>
      </c>
      <c r="K8" s="4" t="n">
        <v>9.100119191539035</v>
      </c>
      <c r="L8" s="4" t="n">
        <v>34.64549232515965</v>
      </c>
      <c r="M8" s="4" t="n">
        <v>5.279513976037227</v>
      </c>
    </row>
    <row r="9">
      <c r="A9" s="4" t="inlineStr">
        <is>
          <t>LIN</t>
        </is>
      </c>
      <c r="B9" s="4" t="inlineStr">
        <is>
          <t>BULLISH</t>
        </is>
      </c>
      <c r="C9" s="4" t="inlineStr">
        <is>
          <t>RS_LEADER</t>
        </is>
      </c>
      <c r="D9" s="4" t="inlineStr"/>
      <c r="E9" s="4" t="n">
        <v>1</v>
      </c>
      <c r="F9" s="4" t="n">
        <v>0</v>
      </c>
      <c r="G9" s="4" t="n">
        <v>456.2200012207031</v>
      </c>
      <c r="H9" s="4" t="n">
        <v>64.74018553623648</v>
      </c>
      <c r="I9" s="4" t="n">
        <v>0.8496834427112674</v>
      </c>
      <c r="J9" s="4" t="n">
        <v>0.777709944376611</v>
      </c>
      <c r="K9" s="4" t="n">
        <v>5.566546592429877</v>
      </c>
      <c r="L9" s="4" t="n">
        <v>1.415548198619461</v>
      </c>
      <c r="M9" s="4" t="n">
        <v>1.402322722207638</v>
      </c>
    </row>
    <row r="10">
      <c r="A10" s="4" t="inlineStr">
        <is>
          <t>CAT</t>
        </is>
      </c>
      <c r="B10" s="4" t="inlineStr">
        <is>
          <t>BULLISH</t>
        </is>
      </c>
      <c r="C10" s="4" t="inlineStr">
        <is>
          <t>RS_LEADER</t>
        </is>
      </c>
      <c r="D10" s="4" t="inlineStr"/>
      <c r="E10" s="4" t="n">
        <v>1</v>
      </c>
      <c r="F10" s="4" t="n">
        <v>0</v>
      </c>
      <c r="G10" s="4" t="n">
        <v>657.7750244140625</v>
      </c>
      <c r="H10" s="4" t="n">
        <v>65.58567961631309</v>
      </c>
      <c r="I10" s="4" t="n">
        <v>1.068741664091611</v>
      </c>
      <c r="J10" s="4" t="n">
        <v>0.901838137079473</v>
      </c>
      <c r="K10" s="4" t="n">
        <v>13.66024908031127</v>
      </c>
      <c r="L10" s="4" t="n">
        <v>41.80170976630377</v>
      </c>
      <c r="M10" s="4" t="n">
        <v>2.941674112791638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9" t="inlineStr">
        <is>
          <t>ETF</t>
        </is>
      </c>
      <c r="B1" s="9" t="inlineStr">
        <is>
          <t>Sector</t>
        </is>
      </c>
      <c r="C1" s="9" t="inlineStr">
        <is>
          <t>Price</t>
        </is>
      </c>
      <c r="D1" s="9" t="inlineStr">
        <is>
          <t>Change %</t>
        </is>
      </c>
    </row>
    <row r="2">
      <c r="A2" s="4" t="inlineStr">
        <is>
          <t>XLP</t>
        </is>
      </c>
      <c r="B2" s="4" t="inlineStr">
        <is>
          <t>Consumer Staples</t>
        </is>
      </c>
      <c r="C2" s="4" t="inlineStr">
        <is>
          <t>$83.44</t>
        </is>
      </c>
      <c r="D2" s="5" t="inlineStr">
        <is>
          <t>+1.60%</t>
        </is>
      </c>
    </row>
    <row r="3">
      <c r="A3" s="4" t="inlineStr">
        <is>
          <t>XLE</t>
        </is>
      </c>
      <c r="B3" s="4" t="inlineStr">
        <is>
          <t>Energy</t>
        </is>
      </c>
      <c r="C3" s="4" t="inlineStr">
        <is>
          <t>$51.06</t>
        </is>
      </c>
      <c r="D3" s="5" t="inlineStr">
        <is>
          <t>+1.08%</t>
        </is>
      </c>
    </row>
    <row r="4">
      <c r="A4" s="4" t="inlineStr">
        <is>
          <t>XLV</t>
        </is>
      </c>
      <c r="B4" s="4" t="inlineStr">
        <is>
          <t>Healthcare</t>
        </is>
      </c>
      <c r="C4" s="4" t="inlineStr">
        <is>
          <t>$154.71</t>
        </is>
      </c>
      <c r="D4" s="5" t="inlineStr">
        <is>
          <t>+0.58%</t>
        </is>
      </c>
    </row>
    <row r="5">
      <c r="A5" s="4" t="inlineStr">
        <is>
          <t>XLY</t>
        </is>
      </c>
      <c r="B5" s="4" t="inlineStr">
        <is>
          <t>Consumer Discretionary</t>
        </is>
      </c>
      <c r="C5" s="4" t="inlineStr">
        <is>
          <t>$121.29</t>
        </is>
      </c>
      <c r="D5" s="5" t="inlineStr">
        <is>
          <t>+0.08%</t>
        </is>
      </c>
    </row>
    <row r="6">
      <c r="A6" s="4" t="inlineStr">
        <is>
          <t>XLRE</t>
        </is>
      </c>
      <c r="B6" s="4" t="inlineStr">
        <is>
          <t>Real Estate</t>
        </is>
      </c>
      <c r="C6" s="4" t="inlineStr">
        <is>
          <t>$41.40</t>
        </is>
      </c>
      <c r="D6" s="5" t="inlineStr">
        <is>
          <t>+0.07%</t>
        </is>
      </c>
    </row>
    <row r="7">
      <c r="A7" s="4" t="inlineStr">
        <is>
          <t>XLF</t>
        </is>
      </c>
      <c r="B7" s="4" t="inlineStr">
        <is>
          <t>Financials</t>
        </is>
      </c>
      <c r="C7" s="4" t="inlineStr">
        <is>
          <t>$53.44</t>
        </is>
      </c>
      <c r="D7" s="7" t="inlineStr">
        <is>
          <t>-0.20%</t>
        </is>
      </c>
    </row>
    <row r="8">
      <c r="A8" s="4" t="inlineStr">
        <is>
          <t>XLU</t>
        </is>
      </c>
      <c r="B8" s="4" t="inlineStr">
        <is>
          <t>Utilities</t>
        </is>
      </c>
      <c r="C8" s="4" t="inlineStr">
        <is>
          <t>$43.22</t>
        </is>
      </c>
      <c r="D8" s="7" t="inlineStr">
        <is>
          <t>-0.24%</t>
        </is>
      </c>
    </row>
    <row r="9">
      <c r="A9" s="4" t="inlineStr">
        <is>
          <t>XLI</t>
        </is>
      </c>
      <c r="B9" s="4" t="inlineStr">
        <is>
          <t>Industrials</t>
        </is>
      </c>
      <c r="C9" s="4" t="inlineStr">
        <is>
          <t>$165.43</t>
        </is>
      </c>
      <c r="D9" s="7" t="inlineStr">
        <is>
          <t>-0.26%</t>
        </is>
      </c>
    </row>
    <row r="10">
      <c r="A10" s="4" t="inlineStr">
        <is>
          <t>SPY</t>
        </is>
      </c>
      <c r="B10" s="4" t="inlineStr">
        <is>
          <t>S&amp;P 500</t>
        </is>
      </c>
      <c r="C10" s="4" t="inlineStr">
        <is>
          <t>$691.76</t>
        </is>
      </c>
      <c r="D10" s="7" t="inlineStr">
        <is>
          <t>-0.33%</t>
        </is>
      </c>
    </row>
    <row r="11">
      <c r="A11" s="4" t="inlineStr">
        <is>
          <t>IBB</t>
        </is>
      </c>
      <c r="B11" s="4" t="inlineStr">
        <is>
          <t>Biotech (iShares)</t>
        </is>
      </c>
      <c r="C11" s="4" t="inlineStr">
        <is>
          <t>$172.46</t>
        </is>
      </c>
      <c r="D11" s="7" t="inlineStr">
        <is>
          <t>-1.03%</t>
        </is>
      </c>
    </row>
    <row r="12">
      <c r="A12" s="4" t="inlineStr">
        <is>
          <t>QQQ</t>
        </is>
      </c>
      <c r="B12" s="4" t="inlineStr">
        <is>
          <t>Nasdaq 100</t>
        </is>
      </c>
      <c r="C12" s="4" t="inlineStr">
        <is>
          <t>$621.86</t>
        </is>
      </c>
      <c r="D12" s="7" t="inlineStr">
        <is>
          <t>-1.20%</t>
        </is>
      </c>
    </row>
    <row r="13">
      <c r="A13" s="4" t="inlineStr">
        <is>
          <t>XLB</t>
        </is>
      </c>
      <c r="B13" s="4" t="inlineStr">
        <is>
          <t>Materials</t>
        </is>
      </c>
      <c r="C13" s="4" t="inlineStr">
        <is>
          <t>$49.26</t>
        </is>
      </c>
      <c r="D13" s="7" t="inlineStr">
        <is>
          <t>-1.47%</t>
        </is>
      </c>
    </row>
    <row r="14">
      <c r="A14" s="4" t="inlineStr">
        <is>
          <t>XBI</t>
        </is>
      </c>
      <c r="B14" s="4" t="inlineStr">
        <is>
          <t>Biotech</t>
        </is>
      </c>
      <c r="C14" s="4" t="inlineStr">
        <is>
          <t>$124.81</t>
        </is>
      </c>
      <c r="D14" s="7" t="inlineStr">
        <is>
          <t>-1.52%</t>
        </is>
      </c>
    </row>
    <row r="15">
      <c r="A15" s="4" t="inlineStr">
        <is>
          <t>XLK</t>
        </is>
      </c>
      <c r="B15" s="4" t="inlineStr">
        <is>
          <t>Technology</t>
        </is>
      </c>
      <c r="C15" s="4" t="inlineStr">
        <is>
          <t>$143.91</t>
        </is>
      </c>
      <c r="D15" s="7" t="inlineStr">
        <is>
          <t>-2.01%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0" customWidth="1" min="4" max="4"/>
    <col width="8" customWidth="1" min="5" max="5"/>
    <col width="12" customWidth="1" min="6" max="6"/>
    <col width="10" customWidth="1" min="7" max="7"/>
    <col width="10" customWidth="1" min="8" max="8"/>
    <col width="8" customWidth="1" min="9" max="9"/>
    <col width="10" customWidth="1" min="10" max="10"/>
    <col width="25" customWidth="1" min="11" max="11"/>
  </cols>
  <sheetData>
    <row r="1">
      <c r="A1" s="1" t="inlineStr">
        <is>
          <t>DECISION HELPER - Portfolio: $166,600</t>
        </is>
      </c>
    </row>
    <row r="2">
      <c r="A2" s="2" t="inlineStr">
        <is>
          <t>Position Rules:</t>
        </is>
      </c>
      <c r="B2" t="inlineStr">
        <is>
          <t>Max (25%): $41,650</t>
        </is>
      </c>
      <c r="D2" t="inlineStr">
        <is>
          <t>Standard (10%): $16,660</t>
        </is>
      </c>
      <c r="F2" t="inlineStr">
        <is>
          <t>Small (5%): $8,330</t>
        </is>
      </c>
    </row>
    <row r="4">
      <c r="A4" s="9" t="inlineStr">
        <is>
          <t>Ticker</t>
        </is>
      </c>
      <c r="B4" s="9" t="inlineStr">
        <is>
          <t>Score</t>
        </is>
      </c>
      <c r="C4" s="9" t="inlineStr">
        <is>
          <t>Conviction</t>
        </is>
      </c>
      <c r="D4" s="9" t="inlineStr">
        <is>
          <t>Price</t>
        </is>
      </c>
      <c r="E4" s="9" t="inlineStr">
        <is>
          <t>Shares</t>
        </is>
      </c>
      <c r="F4" s="9" t="inlineStr">
        <is>
          <t>Position $</t>
        </is>
      </c>
      <c r="G4" s="9" t="inlineStr">
        <is>
          <t>Stop Loss</t>
        </is>
      </c>
      <c r="H4" s="9" t="inlineStr">
        <is>
          <t>Risk $</t>
        </is>
      </c>
      <c r="I4" s="9" t="inlineStr">
        <is>
          <t>RSI</t>
        </is>
      </c>
      <c r="J4" s="9" t="inlineStr">
        <is>
          <t>RS vs SPY</t>
        </is>
      </c>
      <c r="K4" s="9" t="inlineStr">
        <is>
          <t>Reasons</t>
        </is>
      </c>
    </row>
    <row r="5">
      <c r="A5" s="4" t="inlineStr">
        <is>
          <t>HD</t>
        </is>
      </c>
      <c r="B5" s="5" t="inlineStr">
        <is>
          <t>5.0</t>
        </is>
      </c>
      <c r="C5" s="10" t="inlineStr">
        <is>
          <t>STRONG</t>
        </is>
      </c>
      <c r="D5" s="4" t="inlineStr">
        <is>
          <t>$374.68</t>
        </is>
      </c>
      <c r="E5" s="4" t="n">
        <v>44</v>
      </c>
      <c r="F5" s="4" t="inlineStr">
        <is>
          <t>$16,660.00</t>
        </is>
      </c>
      <c r="G5" s="4" t="inlineStr">
        <is>
          <t>$359.89</t>
        </is>
      </c>
      <c r="H5" s="4" t="inlineStr">
        <is>
          <t>$650.90</t>
        </is>
      </c>
      <c r="I5" s="4" t="inlineStr">
        <is>
          <t>50.0</t>
        </is>
      </c>
      <c r="J5" s="4" t="inlineStr">
        <is>
          <t>7.5</t>
        </is>
      </c>
      <c r="K5" s="4" t="inlineStr">
        <is>
          <t>Multi-setup, RSI sweet spot, RS leader</t>
        </is>
      </c>
    </row>
    <row r="6">
      <c r="A6" s="4" t="inlineStr">
        <is>
          <t>AMZN</t>
        </is>
      </c>
      <c r="B6" s="4" t="inlineStr">
        <is>
          <t>3.5</t>
        </is>
      </c>
      <c r="C6" s="11" t="inlineStr">
        <is>
          <t>MODERATE</t>
        </is>
      </c>
      <c r="D6" s="4" t="inlineStr">
        <is>
          <t>$238.97</t>
        </is>
      </c>
      <c r="E6" s="4" t="n">
        <v>48</v>
      </c>
      <c r="F6" s="4" t="inlineStr">
        <is>
          <t>$11,662.00</t>
        </is>
      </c>
      <c r="G6" s="4" t="inlineStr">
        <is>
          <t>$227.78</t>
        </is>
      </c>
      <c r="H6" s="4" t="inlineStr">
        <is>
          <t>$537.29</t>
        </is>
      </c>
      <c r="I6" s="4" t="inlineStr">
        <is>
          <t>40.0</t>
        </is>
      </c>
      <c r="J6" s="4" t="inlineStr">
        <is>
          <t>2.1</t>
        </is>
      </c>
      <c r="K6" s="4" t="inlineStr">
        <is>
          <t>RSI sweet spot, Healthy trend</t>
        </is>
      </c>
    </row>
    <row r="7">
      <c r="A7" s="4" t="inlineStr">
        <is>
          <t>META</t>
        </is>
      </c>
      <c r="B7" s="4" t="inlineStr">
        <is>
          <t>3.0</t>
        </is>
      </c>
      <c r="C7" s="11" t="inlineStr">
        <is>
          <t>MODERATE</t>
        </is>
      </c>
      <c r="D7" s="4" t="inlineStr">
        <is>
          <t>$716.77</t>
        </is>
      </c>
      <c r="E7" s="4" t="n">
        <v>16</v>
      </c>
      <c r="F7" s="4" t="inlineStr">
        <is>
          <t>$11,662.00</t>
        </is>
      </c>
      <c r="G7" s="4" t="inlineStr">
        <is>
          <t>$671.85</t>
        </is>
      </c>
      <c r="H7" s="4" t="inlineStr">
        <is>
          <t>$718.77</t>
        </is>
      </c>
      <c r="I7" s="4" t="inlineStr">
        <is>
          <t>64.2</t>
        </is>
      </c>
      <c r="J7" s="4" t="inlineStr">
        <is>
          <t>7.2</t>
        </is>
      </c>
      <c r="K7" s="4" t="inlineStr">
        <is>
          <t>RS leader, Healthy trend</t>
        </is>
      </c>
    </row>
    <row r="8">
      <c r="A8" s="4" t="inlineStr">
        <is>
          <t>LIN</t>
        </is>
      </c>
      <c r="B8" s="4" t="inlineStr">
        <is>
          <t>3.0</t>
        </is>
      </c>
      <c r="C8" s="11" t="inlineStr">
        <is>
          <t>MODERATE</t>
        </is>
      </c>
      <c r="D8" s="4" t="inlineStr">
        <is>
          <t>$456.22</t>
        </is>
      </c>
      <c r="E8" s="4" t="n">
        <v>25</v>
      </c>
      <c r="F8" s="4" t="inlineStr">
        <is>
          <t>$11,662.00</t>
        </is>
      </c>
      <c r="G8" s="4" t="inlineStr">
        <is>
          <t>$443.42</t>
        </is>
      </c>
      <c r="H8" s="4" t="inlineStr">
        <is>
          <t>$319.88</t>
        </is>
      </c>
      <c r="I8" s="4" t="inlineStr">
        <is>
          <t>64.7</t>
        </is>
      </c>
      <c r="J8" s="4" t="inlineStr">
        <is>
          <t>5.6</t>
        </is>
      </c>
      <c r="K8" s="4" t="inlineStr">
        <is>
          <t>RS leader, Healthy trend</t>
        </is>
      </c>
    </row>
    <row r="9">
      <c r="A9" s="4" t="inlineStr">
        <is>
          <t>WMT</t>
        </is>
      </c>
      <c r="B9" s="4" t="inlineStr">
        <is>
          <t>2.0</t>
        </is>
      </c>
      <c r="C9" s="11" t="inlineStr">
        <is>
          <t>MODERATE</t>
        </is>
      </c>
      <c r="D9" s="4" t="inlineStr">
        <is>
          <t>$119.25</t>
        </is>
      </c>
      <c r="E9" s="4" t="n">
        <v>97</v>
      </c>
      <c r="F9" s="4" t="inlineStr">
        <is>
          <t>$11,662.00</t>
        </is>
      </c>
      <c r="G9" s="4" t="inlineStr">
        <is>
          <t>$114.24</t>
        </is>
      </c>
      <c r="H9" s="4" t="inlineStr">
        <is>
          <t>$485.55</t>
        </is>
      </c>
      <c r="I9" s="4" t="inlineStr">
        <is>
          <t>66.2</t>
        </is>
      </c>
      <c r="J9" s="4" t="inlineStr">
        <is>
          <t>5.6</t>
        </is>
      </c>
      <c r="K9" s="4" t="inlineStr">
        <is>
          <t>RS leader</t>
        </is>
      </c>
    </row>
    <row r="10">
      <c r="A10" s="4" t="inlineStr">
        <is>
          <t>MRK</t>
        </is>
      </c>
      <c r="B10" s="4" t="inlineStr">
        <is>
          <t>2.0</t>
        </is>
      </c>
      <c r="C10" s="11" t="inlineStr">
        <is>
          <t>MODERATE</t>
        </is>
      </c>
      <c r="D10" s="4" t="inlineStr">
        <is>
          <t>$110.40</t>
        </is>
      </c>
      <c r="E10" s="4" t="n">
        <v>105</v>
      </c>
      <c r="F10" s="4" t="inlineStr">
        <is>
          <t>$11,662.00</t>
        </is>
      </c>
      <c r="G10" s="4" t="inlineStr">
        <is>
          <t>$105.45</t>
        </is>
      </c>
      <c r="H10" s="4" t="inlineStr">
        <is>
          <t>$519.60</t>
        </is>
      </c>
      <c r="I10" s="4" t="inlineStr">
        <is>
          <t>49.6</t>
        </is>
      </c>
      <c r="J10" s="4" t="inlineStr">
        <is>
          <t>3.5</t>
        </is>
      </c>
      <c r="K10" s="4" t="inlineStr">
        <is>
          <t>RSI sweet spot, RS leader, Extended</t>
        </is>
      </c>
    </row>
    <row r="11">
      <c r="A11" s="4" t="inlineStr">
        <is>
          <t>GOOGL</t>
        </is>
      </c>
      <c r="B11" s="7" t="inlineStr">
        <is>
          <t>1.0</t>
        </is>
      </c>
      <c r="C11" s="4" t="inlineStr">
        <is>
          <t>WEAK</t>
        </is>
      </c>
      <c r="D11" s="4" t="inlineStr">
        <is>
          <t>$338.04</t>
        </is>
      </c>
      <c r="E11" s="4" t="n">
        <v>24</v>
      </c>
      <c r="F11" s="4" t="inlineStr">
        <is>
          <t>$8,330.00</t>
        </is>
      </c>
      <c r="G11" s="4" t="inlineStr">
        <is>
          <t>$321.49</t>
        </is>
      </c>
      <c r="H11" s="4" t="inlineStr">
        <is>
          <t>$397.11</t>
        </is>
      </c>
      <c r="I11" s="4" t="inlineStr">
        <is>
          <t>61.0</t>
        </is>
      </c>
      <c r="J11" s="4" t="inlineStr">
        <is>
          <t>6.6</t>
        </is>
      </c>
      <c r="K11" s="4" t="inlineStr">
        <is>
          <t>RS leader, Extended</t>
        </is>
      </c>
    </row>
    <row r="12">
      <c r="A12" s="4" t="inlineStr">
        <is>
          <t>CAT</t>
        </is>
      </c>
      <c r="B12" s="7" t="inlineStr">
        <is>
          <t>1.0</t>
        </is>
      </c>
      <c r="C12" s="4" t="inlineStr">
        <is>
          <t>WEAK</t>
        </is>
      </c>
      <c r="D12" s="4" t="inlineStr">
        <is>
          <t>$657.78</t>
        </is>
      </c>
      <c r="E12" s="4" t="n">
        <v>12</v>
      </c>
      <c r="F12" s="4" t="inlineStr">
        <is>
          <t>$8,330.00</t>
        </is>
      </c>
      <c r="G12" s="4" t="inlineStr">
        <is>
          <t>$619.08</t>
        </is>
      </c>
      <c r="H12" s="4" t="inlineStr">
        <is>
          <t>$464.39</t>
        </is>
      </c>
      <c r="I12" s="4" t="inlineStr">
        <is>
          <t>65.6</t>
        </is>
      </c>
      <c r="J12" s="4" t="inlineStr">
        <is>
          <t>13.7</t>
        </is>
      </c>
      <c r="K12" s="4" t="inlineStr">
        <is>
          <t>RS leader, Extended</t>
        </is>
      </c>
    </row>
    <row r="13">
      <c r="A13" s="4" t="inlineStr">
        <is>
          <t>AMD</t>
        </is>
      </c>
      <c r="B13" s="7" t="inlineStr">
        <is>
          <t>0.0</t>
        </is>
      </c>
      <c r="C13" s="4" t="inlineStr">
        <is>
          <t>WEAK</t>
        </is>
      </c>
      <c r="D13" s="4" t="inlineStr">
        <is>
          <t>$236.71</t>
        </is>
      </c>
      <c r="E13" s="4" t="n">
        <v>35</v>
      </c>
      <c r="F13" s="4" t="inlineStr">
        <is>
          <t>$8,330.00</t>
        </is>
      </c>
      <c r="G13" s="4" t="inlineStr">
        <is>
          <t>$211.72</t>
        </is>
      </c>
      <c r="H13" s="4" t="inlineStr">
        <is>
          <t>$874.80</t>
        </is>
      </c>
      <c r="I13" s="4" t="inlineStr">
        <is>
          <t>70.4</t>
        </is>
      </c>
      <c r="J13" s="4" t="inlineStr">
        <is>
          <t>9.1</t>
        </is>
      </c>
      <c r="K13" s="4" t="inlineStr">
        <is>
          <t>Overbought, RS leader, Extended</t>
        </is>
      </c>
    </row>
  </sheetData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2" customWidth="1" min="3" max="3"/>
    <col width="10" customWidth="1" min="4" max="4"/>
    <col width="8" customWidth="1" min="5" max="5"/>
    <col width="12" customWidth="1" min="6" max="6"/>
    <col width="10" customWidth="1" min="7" max="7"/>
    <col width="10" customWidth="1" min="8" max="8"/>
    <col width="12" customWidth="1" min="9" max="9"/>
    <col width="10" customWidth="1" min="10" max="10"/>
    <col width="12" customWidth="1" min="11" max="11"/>
    <col width="10" customWidth="1" min="12" max="12"/>
    <col width="8" customWidth="1" min="13" max="13"/>
    <col width="10" customWidth="1" min="14" max="14"/>
    <col width="25" customWidth="1" min="15" max="15"/>
  </cols>
  <sheetData>
    <row r="1">
      <c r="A1" s="1" t="inlineStr">
        <is>
          <t>TRADE JOURNAL - Track Your Entries &amp; Exits</t>
        </is>
      </c>
    </row>
    <row r="2">
      <c r="A2" s="12" t="inlineStr">
        <is>
          <t>Instructions: Fill in Entry columns when you buy. Fill in Exit columns when you sell. P&amp;L and Hold Days calculate automatically.</t>
        </is>
      </c>
    </row>
    <row r="4">
      <c r="A4" s="3" t="inlineStr">
        <is>
          <t>Ticker</t>
        </is>
      </c>
      <c r="B4" s="3" t="inlineStr">
        <is>
          <t>Setup</t>
        </is>
      </c>
      <c r="C4" s="3" t="inlineStr">
        <is>
          <t>Entry Date</t>
        </is>
      </c>
      <c r="D4" s="3" t="inlineStr">
        <is>
          <t>Entry Price</t>
        </is>
      </c>
      <c r="E4" s="3" t="inlineStr">
        <is>
          <t>Shares</t>
        </is>
      </c>
      <c r="F4" s="3" t="inlineStr">
        <is>
          <t>Position $</t>
        </is>
      </c>
      <c r="G4" s="3" t="inlineStr">
        <is>
          <t>Stop Loss</t>
        </is>
      </c>
      <c r="H4" s="3" t="inlineStr">
        <is>
          <t>Target</t>
        </is>
      </c>
      <c r="I4" s="3" t="inlineStr">
        <is>
          <t>Exit Date</t>
        </is>
      </c>
      <c r="J4" s="3" t="inlineStr">
        <is>
          <t>Exit Price</t>
        </is>
      </c>
      <c r="K4" s="3" t="inlineStr">
        <is>
          <t>Exit Reason</t>
        </is>
      </c>
      <c r="L4" s="3" t="inlineStr">
        <is>
          <t>P&amp;L $</t>
        </is>
      </c>
      <c r="M4" s="3" t="inlineStr">
        <is>
          <t>P&amp;L %</t>
        </is>
      </c>
      <c r="N4" s="3" t="inlineStr">
        <is>
          <t>Hold Days</t>
        </is>
      </c>
      <c r="O4" s="3" t="inlineStr">
        <is>
          <t>Notes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>
        <f>IF(AND(J5&lt;&gt;"",D5&lt;&gt;"",E5&lt;&gt;""),(J5-D5)*E5,"")</f>
        <v/>
      </c>
      <c r="M5" s="4">
        <f>IF(AND(J5&lt;&gt;"",D5&lt;&gt;""),(J5-D5)/D5*100,"")</f>
        <v/>
      </c>
      <c r="N5" s="4">
        <f>IF(AND(I5&lt;&gt;"",C5&lt;&gt;""),I5-C5,"")</f>
        <v/>
      </c>
      <c r="O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>
        <f>IF(AND(J6&lt;&gt;"",D6&lt;&gt;"",E6&lt;&gt;""),(J6-D6)*E6,"")</f>
        <v/>
      </c>
      <c r="M6" s="4">
        <f>IF(AND(J6&lt;&gt;"",D6&lt;&gt;""),(J6-D6)/D6*100,"")</f>
        <v/>
      </c>
      <c r="N6" s="4">
        <f>IF(AND(I6&lt;&gt;"",C6&lt;&gt;""),I6-C6,"")</f>
        <v/>
      </c>
      <c r="O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>
        <f>IF(AND(J7&lt;&gt;"",D7&lt;&gt;"",E7&lt;&gt;""),(J7-D7)*E7,"")</f>
        <v/>
      </c>
      <c r="M7" s="4">
        <f>IF(AND(J7&lt;&gt;"",D7&lt;&gt;""),(J7-D7)/D7*100,"")</f>
        <v/>
      </c>
      <c r="N7" s="4">
        <f>IF(AND(I7&lt;&gt;"",C7&lt;&gt;""),I7-C7,"")</f>
        <v/>
      </c>
      <c r="O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>
        <f>IF(AND(J8&lt;&gt;"",D8&lt;&gt;"",E8&lt;&gt;""),(J8-D8)*E8,"")</f>
        <v/>
      </c>
      <c r="M8" s="4">
        <f>IF(AND(J8&lt;&gt;"",D8&lt;&gt;""),(J8-D8)/D8*100,"")</f>
        <v/>
      </c>
      <c r="N8" s="4">
        <f>IF(AND(I8&lt;&gt;"",C8&lt;&gt;""),I8-C8,"")</f>
        <v/>
      </c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>
        <f>IF(AND(J9&lt;&gt;"",D9&lt;&gt;"",E9&lt;&gt;""),(J9-D9)*E9,"")</f>
        <v/>
      </c>
      <c r="M9" s="4">
        <f>IF(AND(J9&lt;&gt;"",D9&lt;&gt;""),(J9-D9)/D9*100,"")</f>
        <v/>
      </c>
      <c r="N9" s="4">
        <f>IF(AND(I9&lt;&gt;"",C9&lt;&gt;""),I9-C9,"")</f>
        <v/>
      </c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>
        <f>IF(AND(J10&lt;&gt;"",D10&lt;&gt;"",E10&lt;&gt;""),(J10-D10)*E10,"")</f>
        <v/>
      </c>
      <c r="M10" s="4">
        <f>IF(AND(J10&lt;&gt;"",D10&lt;&gt;""),(J10-D10)/D10*100,"")</f>
        <v/>
      </c>
      <c r="N10" s="4">
        <f>IF(AND(I10&lt;&gt;"",C10&lt;&gt;""),I10-C10,"")</f>
        <v/>
      </c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>
        <f>IF(AND(J11&lt;&gt;"",D11&lt;&gt;"",E11&lt;&gt;""),(J11-D11)*E11,"")</f>
        <v/>
      </c>
      <c r="M11" s="4">
        <f>IF(AND(J11&lt;&gt;"",D11&lt;&gt;""),(J11-D11)/D11*100,"")</f>
        <v/>
      </c>
      <c r="N11" s="4">
        <f>IF(AND(I11&lt;&gt;"",C11&lt;&gt;""),I11-C11,"")</f>
        <v/>
      </c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>
        <f>IF(AND(J12&lt;&gt;"",D12&lt;&gt;"",E12&lt;&gt;""),(J12-D12)*E12,"")</f>
        <v/>
      </c>
      <c r="M12" s="4">
        <f>IF(AND(J12&lt;&gt;"",D12&lt;&gt;""),(J12-D12)/D12*100,"")</f>
        <v/>
      </c>
      <c r="N12" s="4">
        <f>IF(AND(I12&lt;&gt;"",C12&lt;&gt;""),I12-C12,"")</f>
        <v/>
      </c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>
        <f>IF(AND(J13&lt;&gt;"",D13&lt;&gt;"",E13&lt;&gt;""),(J13-D13)*E13,"")</f>
        <v/>
      </c>
      <c r="M13" s="4">
        <f>IF(AND(J13&lt;&gt;"",D13&lt;&gt;""),(J13-D13)/D13*100,"")</f>
        <v/>
      </c>
      <c r="N13" s="4">
        <f>IF(AND(I13&lt;&gt;"",C13&lt;&gt;""),I13-C13,"")</f>
        <v/>
      </c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>
        <f>IF(AND(J14&lt;&gt;"",D14&lt;&gt;"",E14&lt;&gt;""),(J14-D14)*E14,"")</f>
        <v/>
      </c>
      <c r="M14" s="4">
        <f>IF(AND(J14&lt;&gt;"",D14&lt;&gt;""),(J14-D14)/D14*100,"")</f>
        <v/>
      </c>
      <c r="N14" s="4">
        <f>IF(AND(I14&lt;&gt;"",C14&lt;&gt;""),I14-C14,"")</f>
        <v/>
      </c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>
        <f>IF(AND(J15&lt;&gt;"",D15&lt;&gt;"",E15&lt;&gt;""),(J15-D15)*E15,"")</f>
        <v/>
      </c>
      <c r="M15" s="4">
        <f>IF(AND(J15&lt;&gt;"",D15&lt;&gt;""),(J15-D15)/D15*100,"")</f>
        <v/>
      </c>
      <c r="N15" s="4">
        <f>IF(AND(I15&lt;&gt;"",C15&lt;&gt;""),I15-C15,"")</f>
        <v/>
      </c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>
        <f>IF(AND(J16&lt;&gt;"",D16&lt;&gt;"",E16&lt;&gt;""),(J16-D16)*E16,"")</f>
        <v/>
      </c>
      <c r="M16" s="4">
        <f>IF(AND(J16&lt;&gt;"",D16&lt;&gt;""),(J16-D16)/D16*100,"")</f>
        <v/>
      </c>
      <c r="N16" s="4">
        <f>IF(AND(I16&lt;&gt;"",C16&lt;&gt;""),I16-C16,"")</f>
        <v/>
      </c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>
        <f>IF(AND(J17&lt;&gt;"",D17&lt;&gt;"",E17&lt;&gt;""),(J17-D17)*E17,"")</f>
        <v/>
      </c>
      <c r="M17" s="4">
        <f>IF(AND(J17&lt;&gt;"",D17&lt;&gt;""),(J17-D17)/D17*100,"")</f>
        <v/>
      </c>
      <c r="N17" s="4">
        <f>IF(AND(I17&lt;&gt;"",C17&lt;&gt;""),I17-C17,"")</f>
        <v/>
      </c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>
        <f>IF(AND(J18&lt;&gt;"",D18&lt;&gt;"",E18&lt;&gt;""),(J18-D18)*E18,"")</f>
        <v/>
      </c>
      <c r="M18" s="4">
        <f>IF(AND(J18&lt;&gt;"",D18&lt;&gt;""),(J18-D18)/D18*100,"")</f>
        <v/>
      </c>
      <c r="N18" s="4">
        <f>IF(AND(I18&lt;&gt;"",C18&lt;&gt;""),I18-C18,"")</f>
        <v/>
      </c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>
        <f>IF(AND(J19&lt;&gt;"",D19&lt;&gt;"",E19&lt;&gt;""),(J19-D19)*E19,"")</f>
        <v/>
      </c>
      <c r="M19" s="4">
        <f>IF(AND(J19&lt;&gt;"",D19&lt;&gt;""),(J19-D19)/D19*100,"")</f>
        <v/>
      </c>
      <c r="N19" s="4">
        <f>IF(AND(I19&lt;&gt;"",C19&lt;&gt;""),I19-C19,"")</f>
        <v/>
      </c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>
        <f>IF(AND(J20&lt;&gt;"",D20&lt;&gt;"",E20&lt;&gt;""),(J20-D20)*E20,"")</f>
        <v/>
      </c>
      <c r="M20" s="4">
        <f>IF(AND(J20&lt;&gt;"",D20&lt;&gt;""),(J20-D20)/D20*100,"")</f>
        <v/>
      </c>
      <c r="N20" s="4">
        <f>IF(AND(I20&lt;&gt;"",C20&lt;&gt;""),I20-C20,"")</f>
        <v/>
      </c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>
        <f>IF(AND(J21&lt;&gt;"",D21&lt;&gt;"",E21&lt;&gt;""),(J21-D21)*E21,"")</f>
        <v/>
      </c>
      <c r="M21" s="4">
        <f>IF(AND(J21&lt;&gt;"",D21&lt;&gt;""),(J21-D21)/D21*100,"")</f>
        <v/>
      </c>
      <c r="N21" s="4">
        <f>IF(AND(I21&lt;&gt;"",C21&lt;&gt;""),I21-C21,"")</f>
        <v/>
      </c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>
        <f>IF(AND(J22&lt;&gt;"",D22&lt;&gt;"",E22&lt;&gt;""),(J22-D22)*E22,"")</f>
        <v/>
      </c>
      <c r="M22" s="4">
        <f>IF(AND(J22&lt;&gt;"",D22&lt;&gt;""),(J22-D22)/D22*100,"")</f>
        <v/>
      </c>
      <c r="N22" s="4">
        <f>IF(AND(I22&lt;&gt;"",C22&lt;&gt;""),I22-C22,"")</f>
        <v/>
      </c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>
        <f>IF(AND(J23&lt;&gt;"",D23&lt;&gt;"",E23&lt;&gt;""),(J23-D23)*E23,"")</f>
        <v/>
      </c>
      <c r="M23" s="4">
        <f>IF(AND(J23&lt;&gt;"",D23&lt;&gt;""),(J23-D23)/D23*100,"")</f>
        <v/>
      </c>
      <c r="N23" s="4">
        <f>IF(AND(I23&lt;&gt;"",C23&lt;&gt;""),I23-C23,"")</f>
        <v/>
      </c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>
        <f>IF(AND(J24&lt;&gt;"",D24&lt;&gt;"",E24&lt;&gt;""),(J24-D24)*E24,"")</f>
        <v/>
      </c>
      <c r="M24" s="4">
        <f>IF(AND(J24&lt;&gt;"",D24&lt;&gt;""),(J24-D24)/D24*100,"")</f>
        <v/>
      </c>
      <c r="N24" s="4">
        <f>IF(AND(I24&lt;&gt;"",C24&lt;&gt;""),I24-C24,"")</f>
        <v/>
      </c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>
        <f>IF(AND(J25&lt;&gt;"",D25&lt;&gt;"",E25&lt;&gt;""),(J25-D25)*E25,"")</f>
        <v/>
      </c>
      <c r="M25" s="4">
        <f>IF(AND(J25&lt;&gt;"",D25&lt;&gt;""),(J25-D25)/D25*100,"")</f>
        <v/>
      </c>
      <c r="N25" s="4">
        <f>IF(AND(I25&lt;&gt;"",C25&lt;&gt;""),I25-C25,"")</f>
        <v/>
      </c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>
        <f>IF(AND(J26&lt;&gt;"",D26&lt;&gt;"",E26&lt;&gt;""),(J26-D26)*E26,"")</f>
        <v/>
      </c>
      <c r="M26" s="4">
        <f>IF(AND(J26&lt;&gt;"",D26&lt;&gt;""),(J26-D26)/D26*100,"")</f>
        <v/>
      </c>
      <c r="N26" s="4">
        <f>IF(AND(I26&lt;&gt;"",C26&lt;&gt;""),I26-C26,"")</f>
        <v/>
      </c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>
        <f>IF(AND(J27&lt;&gt;"",D27&lt;&gt;"",E27&lt;&gt;""),(J27-D27)*E27,"")</f>
        <v/>
      </c>
      <c r="M27" s="4">
        <f>IF(AND(J27&lt;&gt;"",D27&lt;&gt;""),(J27-D27)/D27*100,"")</f>
        <v/>
      </c>
      <c r="N27" s="4">
        <f>IF(AND(I27&lt;&gt;"",C27&lt;&gt;""),I27-C27,"")</f>
        <v/>
      </c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>
        <f>IF(AND(J28&lt;&gt;"",D28&lt;&gt;"",E28&lt;&gt;""),(J28-D28)*E28,"")</f>
        <v/>
      </c>
      <c r="M28" s="4">
        <f>IF(AND(J28&lt;&gt;"",D28&lt;&gt;""),(J28-D28)/D28*100,"")</f>
        <v/>
      </c>
      <c r="N28" s="4">
        <f>IF(AND(I28&lt;&gt;"",C28&lt;&gt;""),I28-C28,"")</f>
        <v/>
      </c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>
        <f>IF(AND(J29&lt;&gt;"",D29&lt;&gt;"",E29&lt;&gt;""),(J29-D29)*E29,"")</f>
        <v/>
      </c>
      <c r="M29" s="4">
        <f>IF(AND(J29&lt;&gt;"",D29&lt;&gt;""),(J29-D29)/D29*100,"")</f>
        <v/>
      </c>
      <c r="N29" s="4">
        <f>IF(AND(I29&lt;&gt;"",C29&lt;&gt;""),I29-C29,"")</f>
        <v/>
      </c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>
        <f>IF(AND(J30&lt;&gt;"",D30&lt;&gt;"",E30&lt;&gt;""),(J30-D30)*E30,"")</f>
        <v/>
      </c>
      <c r="M30" s="4">
        <f>IF(AND(J30&lt;&gt;"",D30&lt;&gt;""),(J30-D30)/D30*100,"")</f>
        <v/>
      </c>
      <c r="N30" s="4">
        <f>IF(AND(I30&lt;&gt;"",C30&lt;&gt;""),I30-C30,"")</f>
        <v/>
      </c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>
        <f>IF(AND(J31&lt;&gt;"",D31&lt;&gt;"",E31&lt;&gt;""),(J31-D31)*E31,"")</f>
        <v/>
      </c>
      <c r="M31" s="4">
        <f>IF(AND(J31&lt;&gt;"",D31&lt;&gt;""),(J31-D31)/D31*100,"")</f>
        <v/>
      </c>
      <c r="N31" s="4">
        <f>IF(AND(I31&lt;&gt;"",C31&lt;&gt;""),I31-C31,"")</f>
        <v/>
      </c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>
        <f>IF(AND(J32&lt;&gt;"",D32&lt;&gt;"",E32&lt;&gt;""),(J32-D32)*E32,"")</f>
        <v/>
      </c>
      <c r="M32" s="4">
        <f>IF(AND(J32&lt;&gt;"",D32&lt;&gt;""),(J32-D32)/D32*100,"")</f>
        <v/>
      </c>
      <c r="N32" s="4">
        <f>IF(AND(I32&lt;&gt;"",C32&lt;&gt;""),I32-C32,"")</f>
        <v/>
      </c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>
        <f>IF(AND(J33&lt;&gt;"",D33&lt;&gt;"",E33&lt;&gt;""),(J33-D33)*E33,"")</f>
        <v/>
      </c>
      <c r="M33" s="4">
        <f>IF(AND(J33&lt;&gt;"",D33&lt;&gt;""),(J33-D33)/D33*100,"")</f>
        <v/>
      </c>
      <c r="N33" s="4">
        <f>IF(AND(I33&lt;&gt;"",C33&lt;&gt;""),I33-C33,"")</f>
        <v/>
      </c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>
        <f>IF(AND(J34&lt;&gt;"",D34&lt;&gt;"",E34&lt;&gt;""),(J34-D34)*E34,"")</f>
        <v/>
      </c>
      <c r="M34" s="4">
        <f>IF(AND(J34&lt;&gt;"",D34&lt;&gt;""),(J34-D34)/D34*100,"")</f>
        <v/>
      </c>
      <c r="N34" s="4">
        <f>IF(AND(I34&lt;&gt;"",C34&lt;&gt;""),I34-C34,"")</f>
        <v/>
      </c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>
        <f>IF(AND(J35&lt;&gt;"",D35&lt;&gt;"",E35&lt;&gt;""),(J35-D35)*E35,"")</f>
        <v/>
      </c>
      <c r="M35" s="4">
        <f>IF(AND(J35&lt;&gt;"",D35&lt;&gt;""),(J35-D35)/D35*100,"")</f>
        <v/>
      </c>
      <c r="N35" s="4">
        <f>IF(AND(I35&lt;&gt;"",C35&lt;&gt;""),I35-C35,"")</f>
        <v/>
      </c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>
        <f>IF(AND(J36&lt;&gt;"",D36&lt;&gt;"",E36&lt;&gt;""),(J36-D36)*E36,"")</f>
        <v/>
      </c>
      <c r="M36" s="4">
        <f>IF(AND(J36&lt;&gt;"",D36&lt;&gt;""),(J36-D36)/D36*100,"")</f>
        <v/>
      </c>
      <c r="N36" s="4">
        <f>IF(AND(I36&lt;&gt;"",C36&lt;&gt;""),I36-C36,"")</f>
        <v/>
      </c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>
        <f>IF(AND(J37&lt;&gt;"",D37&lt;&gt;"",E37&lt;&gt;""),(J37-D37)*E37,"")</f>
        <v/>
      </c>
      <c r="M37" s="4">
        <f>IF(AND(J37&lt;&gt;"",D37&lt;&gt;""),(J37-D37)/D37*100,"")</f>
        <v/>
      </c>
      <c r="N37" s="4">
        <f>IF(AND(I37&lt;&gt;"",C37&lt;&gt;""),I37-C37,"")</f>
        <v/>
      </c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>
        <f>IF(AND(J38&lt;&gt;"",D38&lt;&gt;"",E38&lt;&gt;""),(J38-D38)*E38,"")</f>
        <v/>
      </c>
      <c r="M38" s="4">
        <f>IF(AND(J38&lt;&gt;"",D38&lt;&gt;""),(J38-D38)/D38*100,"")</f>
        <v/>
      </c>
      <c r="N38" s="4">
        <f>IF(AND(I38&lt;&gt;"",C38&lt;&gt;""),I38-C38,"")</f>
        <v/>
      </c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>
        <f>IF(AND(J39&lt;&gt;"",D39&lt;&gt;"",E39&lt;&gt;""),(J39-D39)*E39,"")</f>
        <v/>
      </c>
      <c r="M39" s="4">
        <f>IF(AND(J39&lt;&gt;"",D39&lt;&gt;""),(J39-D39)/D39*100,"")</f>
        <v/>
      </c>
      <c r="N39" s="4">
        <f>IF(AND(I39&lt;&gt;"",C39&lt;&gt;""),I39-C39,"")</f>
        <v/>
      </c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IF(AND(J40&lt;&gt;"",D40&lt;&gt;"",E40&lt;&gt;""),(J40-D40)*E40,"")</f>
        <v/>
      </c>
      <c r="M40" s="4">
        <f>IF(AND(J40&lt;&gt;"",D40&lt;&gt;""),(J40-D40)/D40*100,"")</f>
        <v/>
      </c>
      <c r="N40" s="4">
        <f>IF(AND(I40&lt;&gt;"",C40&lt;&gt;""),I40-C40,"")</f>
        <v/>
      </c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IF(AND(J41&lt;&gt;"",D41&lt;&gt;"",E41&lt;&gt;""),(J41-D41)*E41,"")</f>
        <v/>
      </c>
      <c r="M41" s="4">
        <f>IF(AND(J41&lt;&gt;"",D41&lt;&gt;""),(J41-D41)/D41*100,"")</f>
        <v/>
      </c>
      <c r="N41" s="4">
        <f>IF(AND(I41&lt;&gt;"",C41&lt;&gt;""),I41-C41,"")</f>
        <v/>
      </c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>
        <f>IF(AND(J42&lt;&gt;"",D42&lt;&gt;"",E42&lt;&gt;""),(J42-D42)*E42,"")</f>
        <v/>
      </c>
      <c r="M42" s="4">
        <f>IF(AND(J42&lt;&gt;"",D42&lt;&gt;""),(J42-D42)/D42*100,"")</f>
        <v/>
      </c>
      <c r="N42" s="4">
        <f>IF(AND(I42&lt;&gt;"",C42&lt;&gt;""),I42-C42,"")</f>
        <v/>
      </c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>
        <f>IF(AND(J43&lt;&gt;"",D43&lt;&gt;"",E43&lt;&gt;""),(J43-D43)*E43,"")</f>
        <v/>
      </c>
      <c r="M43" s="4">
        <f>IF(AND(J43&lt;&gt;"",D43&lt;&gt;""),(J43-D43)/D43*100,"")</f>
        <v/>
      </c>
      <c r="N43" s="4">
        <f>IF(AND(I43&lt;&gt;"",C43&lt;&gt;""),I43-C43,"")</f>
        <v/>
      </c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>
        <f>IF(AND(J44&lt;&gt;"",D44&lt;&gt;"",E44&lt;&gt;""),(J44-D44)*E44,"")</f>
        <v/>
      </c>
      <c r="M44" s="4">
        <f>IF(AND(J44&lt;&gt;"",D44&lt;&gt;""),(J44-D44)/D44*100,"")</f>
        <v/>
      </c>
      <c r="N44" s="4">
        <f>IF(AND(I44&lt;&gt;"",C44&lt;&gt;""),I44-C44,"")</f>
        <v/>
      </c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IF(AND(J45&lt;&gt;"",D45&lt;&gt;"",E45&lt;&gt;""),(J45-D45)*E45,"")</f>
        <v/>
      </c>
      <c r="M45" s="4">
        <f>IF(AND(J45&lt;&gt;"",D45&lt;&gt;""),(J45-D45)/D45*100,"")</f>
        <v/>
      </c>
      <c r="N45" s="4">
        <f>IF(AND(I45&lt;&gt;"",C45&lt;&gt;""),I45-C45,"")</f>
        <v/>
      </c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>
        <f>IF(AND(J46&lt;&gt;"",D46&lt;&gt;"",E46&lt;&gt;""),(J46-D46)*E46,"")</f>
        <v/>
      </c>
      <c r="M46" s="4">
        <f>IF(AND(J46&lt;&gt;"",D46&lt;&gt;""),(J46-D46)/D46*100,"")</f>
        <v/>
      </c>
      <c r="N46" s="4">
        <f>IF(AND(I46&lt;&gt;"",C46&lt;&gt;""),I46-C46,"")</f>
        <v/>
      </c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>
        <f>IF(AND(J47&lt;&gt;"",D47&lt;&gt;"",E47&lt;&gt;""),(J47-D47)*E47,"")</f>
        <v/>
      </c>
      <c r="M47" s="4">
        <f>IF(AND(J47&lt;&gt;"",D47&lt;&gt;""),(J47-D47)/D47*100,"")</f>
        <v/>
      </c>
      <c r="N47" s="4">
        <f>IF(AND(I47&lt;&gt;"",C47&lt;&gt;""),I47-C47,"")</f>
        <v/>
      </c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>
        <f>IF(AND(J48&lt;&gt;"",D48&lt;&gt;"",E48&lt;&gt;""),(J48-D48)*E48,"")</f>
        <v/>
      </c>
      <c r="M48" s="4">
        <f>IF(AND(J48&lt;&gt;"",D48&lt;&gt;""),(J48-D48)/D48*100,"")</f>
        <v/>
      </c>
      <c r="N48" s="4">
        <f>IF(AND(I48&lt;&gt;"",C48&lt;&gt;""),I48-C48,"")</f>
        <v/>
      </c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>
        <f>IF(AND(J49&lt;&gt;"",D49&lt;&gt;"",E49&lt;&gt;""),(J49-D49)*E49,"")</f>
        <v/>
      </c>
      <c r="M49" s="4">
        <f>IF(AND(J49&lt;&gt;"",D49&lt;&gt;""),(J49-D49)/D49*100,"")</f>
        <v/>
      </c>
      <c r="N49" s="4">
        <f>IF(AND(I49&lt;&gt;"",C49&lt;&gt;""),I49-C49,"")</f>
        <v/>
      </c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>
        <f>IF(AND(J50&lt;&gt;"",D50&lt;&gt;"",E50&lt;&gt;""),(J50-D50)*E50,"")</f>
        <v/>
      </c>
      <c r="M50" s="4">
        <f>IF(AND(J50&lt;&gt;"",D50&lt;&gt;""),(J50-D50)/D50*100,"")</f>
        <v/>
      </c>
      <c r="N50" s="4">
        <f>IF(AND(I50&lt;&gt;"",C50&lt;&gt;""),I50-C50,"")</f>
        <v/>
      </c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>
        <f>IF(AND(J51&lt;&gt;"",D51&lt;&gt;"",E51&lt;&gt;""),(J51-D51)*E51,"")</f>
        <v/>
      </c>
      <c r="M51" s="4">
        <f>IF(AND(J51&lt;&gt;"",D51&lt;&gt;""),(J51-D51)/D51*100,"")</f>
        <v/>
      </c>
      <c r="N51" s="4">
        <f>IF(AND(I51&lt;&gt;"",C51&lt;&gt;""),I51-C51,"")</f>
        <v/>
      </c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>
        <f>IF(AND(J52&lt;&gt;"",D52&lt;&gt;"",E52&lt;&gt;""),(J52-D52)*E52,"")</f>
        <v/>
      </c>
      <c r="M52" s="4">
        <f>IF(AND(J52&lt;&gt;"",D52&lt;&gt;""),(J52-D52)/D52*100,"")</f>
        <v/>
      </c>
      <c r="N52" s="4">
        <f>IF(AND(I52&lt;&gt;"",C52&lt;&gt;""),I52-C52,"")</f>
        <v/>
      </c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>
        <f>IF(AND(J53&lt;&gt;"",D53&lt;&gt;"",E53&lt;&gt;""),(J53-D53)*E53,"")</f>
        <v/>
      </c>
      <c r="M53" s="4">
        <f>IF(AND(J53&lt;&gt;"",D53&lt;&gt;""),(J53-D53)/D53*100,"")</f>
        <v/>
      </c>
      <c r="N53" s="4">
        <f>IF(AND(I53&lt;&gt;"",C53&lt;&gt;""),I53-C53,"")</f>
        <v/>
      </c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>
        <f>IF(AND(J54&lt;&gt;"",D54&lt;&gt;"",E54&lt;&gt;""),(J54-D54)*E54,"")</f>
        <v/>
      </c>
      <c r="M54" s="4">
        <f>IF(AND(J54&lt;&gt;"",D54&lt;&gt;""),(J54-D54)/D54*100,"")</f>
        <v/>
      </c>
      <c r="N54" s="4">
        <f>IF(AND(I54&lt;&gt;"",C54&lt;&gt;""),I54-C54,"")</f>
        <v/>
      </c>
      <c r="O54" s="4" t="n"/>
    </row>
    <row r="56">
      <c r="A56" s="2" t="inlineStr">
        <is>
          <t>SUMMARY STATS</t>
        </is>
      </c>
    </row>
    <row r="57">
      <c r="A57" t="inlineStr">
        <is>
          <t>Total Trades:</t>
        </is>
      </c>
      <c r="B57">
        <f>COUNTA(A5:A54)</f>
        <v/>
      </c>
    </row>
    <row r="58">
      <c r="A58" t="inlineStr">
        <is>
          <t>Winning Trades:</t>
        </is>
      </c>
      <c r="B58">
        <f>COUNTIF(L5:L54,"&gt;0")</f>
        <v/>
      </c>
    </row>
    <row r="59">
      <c r="A59" t="inlineStr">
        <is>
          <t>Losing Trades:</t>
        </is>
      </c>
      <c r="B59">
        <f>COUNTIF(L5:L54,"&lt;0")</f>
        <v/>
      </c>
    </row>
    <row r="60">
      <c r="A60" t="inlineStr">
        <is>
          <t>Win Rate:</t>
        </is>
      </c>
      <c r="B60">
        <f>IF(B57&gt;0,B58/B57*100,0)</f>
        <v/>
      </c>
      <c r="C60" t="inlineStr">
        <is>
          <t>%</t>
        </is>
      </c>
    </row>
    <row r="61">
      <c r="A61" t="inlineStr">
        <is>
          <t>Total P&amp;L:</t>
        </is>
      </c>
      <c r="B61">
        <f>SUM(L5:L54)</f>
        <v/>
      </c>
    </row>
    <row r="62">
      <c r="A62" t="inlineStr">
        <is>
          <t>Avg Hold Days:</t>
        </is>
      </c>
      <c r="B62">
        <f>IF(COUNTA(N5:N54)&gt;0,AVERAGE(N5:N54),0)</f>
        <v/>
      </c>
    </row>
    <row r="63">
      <c r="A63" t="inlineStr">
        <is>
          <t>Avg Win %:</t>
        </is>
      </c>
      <c r="B63">
        <f>IF(B58&gt;0,AVERAGEIF(M5:M54,"&gt;0"),0)</f>
        <v/>
      </c>
    </row>
    <row r="64">
      <c r="A64" t="inlineStr">
        <is>
          <t>Avg Loss %:</t>
        </is>
      </c>
      <c r="B64">
        <f>IF(B59&gt;0,AVERAGEIF(M5:M54,"&lt;0"),0)</f>
        <v/>
      </c>
    </row>
  </sheetData>
  <mergeCells count="2">
    <mergeCell ref="A2:N2"/>
    <mergeCell ref="A1:N1"/>
  </mergeCells>
  <conditionalFormatting sqref="L5:L5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M5:M54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9" t="inlineStr">
        <is>
          <t>Date</t>
        </is>
      </c>
      <c r="B1" s="9" t="inlineStr">
        <is>
          <t>SPY Price</t>
        </is>
      </c>
      <c r="C1" s="9" t="inlineStr">
        <is>
          <t>SPY RSI</t>
        </is>
      </c>
      <c r="D1" s="9" t="inlineStr">
        <is>
          <t>Bullish</t>
        </is>
      </c>
      <c r="E1" s="9" t="inlineStr">
        <is>
          <t>Bearish</t>
        </is>
      </c>
      <c r="F1" s="9" t="inlineStr">
        <is>
          <t>Neutral</t>
        </is>
      </c>
      <c r="G1" s="9" t="inlineStr">
        <is>
          <t>Top Setup</t>
        </is>
      </c>
    </row>
    <row r="2">
      <c r="A2" s="4" t="inlineStr">
        <is>
          <t>2026-01-30</t>
        </is>
      </c>
      <c r="B2" s="4" t="n">
        <v>691.6672973632812</v>
      </c>
      <c r="C2" s="4" t="n">
        <v>47.27970037039085</v>
      </c>
      <c r="D2" s="4" t="n">
        <v>9</v>
      </c>
      <c r="E2" s="4" t="n">
        <v>25</v>
      </c>
      <c r="F2" s="4" t="n">
        <v>16</v>
      </c>
      <c r="G2" s="4" t="inlineStr">
        <is>
          <t>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2026-01-30T20:53:30Z</dcterms:created>
  <dcterms:modified xsi:type="dcterms:W3CDTF">2026-01-30T20:53:30Z</dcterms:modified>
</cp:coreProperties>
</file>